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개요" sheetId="1" state="visible" r:id="rId1"/>
    <sheet name="기능 명세" sheetId="2" state="visible" r:id="rId2"/>
    <sheet name="API_크롬" sheetId="3" state="visible" r:id="rId3"/>
    <sheet name="API_내부 함수" sheetId="4" state="visible" r:id="rId4"/>
    <sheet name="참고_저장 항목" sheetId="5" state="visible" r:id="rId5"/>
    <sheet name="파일별 역할" sheetId="6" state="visible" r:id="rId6"/>
  </sheets>
  <definedNames>
    <definedName name="_xlnm._FilterDatabase" localSheetId="1" hidden="1">'기능 명세'!$A$1:$N$118</definedName>
    <definedName name="_xlnm._FilterDatabase" localSheetId="2" hidden="1">'API_크롬'!$A$1:$L$23</definedName>
    <definedName name="_xlnm._FilterDatabase" localSheetId="3" hidden="1">'API_내부 함수'!$A$1:$M$47</definedName>
    <definedName name="_xlnm._FilterDatabase" localSheetId="4" hidden="1">'참고_저장 항목'!$A$1:$H$10</definedName>
    <definedName name="_xlnm._FilterDatabase" localSheetId="5" hidden="1">'파일별 역할'!$A$1:$F$20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Noto Sans CJK SC"/>
      <charset val="1"/>
      <family val="2"/>
      <b val="1"/>
      <sz val="14"/>
    </font>
    <font>
      <name val="Noto Sans CJK SC"/>
      <charset val="1"/>
      <family val="2"/>
      <b val="1"/>
      <sz val="10"/>
    </font>
    <font>
      <name val="Noto Sans CJK SC"/>
      <charset val="1"/>
      <family val="2"/>
      <sz val="10"/>
    </font>
    <font>
      <name val="맑은 고딕"/>
      <charset val="1"/>
      <family val="0"/>
      <sz val="10"/>
    </font>
    <font>
      <name val="Noto Sans CJK SC"/>
      <family val="2"/>
      <sz val="10"/>
    </font>
    <font>
      <name val="맑은 고딕"/>
      <charset val="1"/>
      <family val="0"/>
      <b val="1"/>
      <sz val="10"/>
    </font>
    <font>
      <name val="Noto Sans CJK SC"/>
      <family val="2"/>
      <b val="1"/>
      <sz val="10"/>
    </font>
    <font>
      <name val="Noto Sans CJK SC"/>
      <charset val="1"/>
      <family val="2"/>
      <b val="1"/>
      <color rgb="FFFFFFFF"/>
      <sz val="10"/>
    </font>
    <font>
      <name val="Noto Sans CJK SC"/>
      <charset val="1"/>
      <family val="2"/>
      <b val="1"/>
      <sz val="11"/>
    </font>
    <font>
      <name val="맑은 고딕"/>
      <charset val="1"/>
      <family val="0"/>
      <b val="1"/>
      <color rgb="FFFFFFFF"/>
      <sz val="10"/>
    </font>
    <font>
      <name val="Noto Sans CJK SC"/>
      <family val="2"/>
      <b val="1"/>
      <color rgb="FFFFFFFF"/>
      <sz val="10"/>
    </font>
  </fonts>
  <fills count="11">
    <fill>
      <patternFill/>
    </fill>
    <fill>
      <patternFill patternType="gray125"/>
    </fill>
    <fill>
      <patternFill patternType="solid">
        <fgColor rgb="FFDDE6F0"/>
        <bgColor rgb="FFDDEBF7"/>
      </patternFill>
    </fill>
    <fill>
      <patternFill patternType="solid">
        <fgColor rgb="FF1F3A5F"/>
        <bgColor rgb="FF333333"/>
      </patternFill>
    </fill>
    <fill>
      <patternFill patternType="solid">
        <fgColor rgb="FFDDEBF7"/>
        <bgColor rgb="FFDDE6F0"/>
      </patternFill>
    </fill>
    <fill>
      <patternFill patternType="solid">
        <fgColor rgb="FFEAF1DD"/>
        <bgColor rgb="FFE2EFDA"/>
      </patternFill>
    </fill>
    <fill>
      <patternFill patternType="solid">
        <fgColor rgb="FFFDE9D9"/>
        <bgColor rgb="FFFCE4D6"/>
      </patternFill>
    </fill>
    <fill>
      <patternFill patternType="solid">
        <fgColor rgb="FFE4DFEC"/>
        <bgColor rgb="FFDDE6F0"/>
      </patternFill>
    </fill>
    <fill>
      <patternFill patternType="solid">
        <fgColor rgb="FFFCE4D6"/>
        <bgColor rgb="FFFDE9D9"/>
      </patternFill>
    </fill>
    <fill>
      <patternFill patternType="solid">
        <fgColor rgb="FFFFF2CC"/>
        <bgColor rgb="FFFDE9D9"/>
      </patternFill>
    </fill>
    <fill>
      <patternFill patternType="solid">
        <fgColor rgb="FFE2EFDA"/>
        <bgColor rgb="FFEAF1DD"/>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top" wrapText="1"/>
    </xf>
    <xf numFmtId="0" fontId="6" fillId="0" borderId="1" applyAlignment="1" pivotButton="0" quotePrefix="0" xfId="0">
      <alignment horizontal="general" vertical="top" wrapText="1"/>
    </xf>
    <xf numFmtId="0" fontId="7"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1" fillId="3" borderId="1" applyAlignment="1" pivotButton="0" quotePrefix="0" xfId="0">
      <alignment horizontal="center" vertical="top" wrapText="1"/>
    </xf>
    <xf numFmtId="0" fontId="7" fillId="0" borderId="1" applyAlignment="1" pivotButton="0" quotePrefix="0" xfId="0">
      <alignment horizontal="center" vertical="top" wrapText="1"/>
    </xf>
    <xf numFmtId="0" fontId="5" fillId="2" borderId="1" applyAlignment="1" pivotButton="0" quotePrefix="0" xfId="0">
      <alignment horizontal="general" vertical="bottom"/>
    </xf>
    <xf numFmtId="0" fontId="0" fillId="2" borderId="1" applyAlignment="1" pivotButton="0" quotePrefix="0" xfId="0">
      <alignment horizontal="general" vertical="bottom"/>
    </xf>
    <xf numFmtId="0" fontId="9" fillId="2" borderId="1" applyAlignment="1" pivotButton="0" quotePrefix="0" xfId="0">
      <alignment horizontal="center" vertical="top" wrapText="1"/>
    </xf>
    <xf numFmtId="0" fontId="12" fillId="0" borderId="0" applyAlignment="1" pivotButton="0" quotePrefix="0" xfId="0">
      <alignment horizontal="general" vertical="bottom"/>
    </xf>
    <xf numFmtId="0" fontId="6" fillId="0" borderId="1" applyAlignment="1" pivotButton="0" quotePrefix="0" xfId="0">
      <alignment horizontal="center" vertical="top" wrapText="1"/>
    </xf>
    <xf numFmtId="0" fontId="6" fillId="4" borderId="1" applyAlignment="1" pivotButton="0" quotePrefix="0" xfId="0">
      <alignment horizontal="center" vertical="top" wrapText="1"/>
    </xf>
    <xf numFmtId="0" fontId="6" fillId="5" borderId="1" applyAlignment="1" pivotButton="0" quotePrefix="0" xfId="0">
      <alignment horizontal="center" vertical="top" wrapText="1"/>
    </xf>
    <xf numFmtId="0" fontId="6" fillId="6" borderId="1" applyAlignment="1" pivotButton="0" quotePrefix="0" xfId="0">
      <alignment horizontal="center" vertical="top" wrapText="1"/>
    </xf>
    <xf numFmtId="0" fontId="6" fillId="7" borderId="1" applyAlignment="1" pivotButton="0" quotePrefix="0" xfId="0">
      <alignment horizontal="center"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13" fillId="3" borderId="1" applyAlignment="1" pivotButton="0" quotePrefix="0" xfId="0">
      <alignment horizontal="center" vertical="top" wrapText="1"/>
    </xf>
    <xf numFmtId="0" fontId="6" fillId="8" borderId="1" applyAlignment="1" pivotButton="0" quotePrefix="0" xfId="0">
      <alignment horizontal="center" vertical="top" wrapText="1"/>
    </xf>
    <xf numFmtId="0" fontId="6" fillId="9" borderId="1" applyAlignment="1" pivotButton="0" quotePrefix="0" xfId="0">
      <alignment horizontal="general" vertical="top" wrapText="1"/>
    </xf>
    <xf numFmtId="0" fontId="6" fillId="1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4" pivotButton="0" quotePrefix="0" xfId="0"/>
    <xf numFmtId="0" fontId="0" fillId="0" borderId="5" pivotButton="0" quotePrefix="0" xfId="0"/>
    <xf numFmtId="0" fontId="7"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1" fillId="3" borderId="1" applyAlignment="1" pivotButton="0" quotePrefix="0" xfId="0">
      <alignment horizontal="center" vertical="top" wrapText="1"/>
    </xf>
    <xf numFmtId="0" fontId="7" fillId="0" borderId="1" applyAlignment="1" pivotButton="0" quotePrefix="0" xfId="0">
      <alignment horizontal="center" vertical="top" wrapText="1"/>
    </xf>
    <xf numFmtId="0" fontId="5" fillId="2" borderId="1" applyAlignment="1" pivotButton="0" quotePrefix="0" xfId="0">
      <alignment horizontal="general" vertical="bottom"/>
    </xf>
    <xf numFmtId="0" fontId="0" fillId="2" borderId="1" applyAlignment="1" pivotButton="0" quotePrefix="0" xfId="0">
      <alignment horizontal="general" vertical="bottom"/>
    </xf>
    <xf numFmtId="0" fontId="9" fillId="2" borderId="1" applyAlignment="1" pivotButton="0" quotePrefix="0" xfId="0">
      <alignment horizontal="center" vertical="top" wrapText="1"/>
    </xf>
    <xf numFmtId="0" fontId="12" fillId="0" borderId="0" applyAlignment="1" pivotButton="0" quotePrefix="0" xfId="0">
      <alignment horizontal="general" vertical="bottom"/>
    </xf>
    <xf numFmtId="0" fontId="6" fillId="0" borderId="1" applyAlignment="1" pivotButton="0" quotePrefix="0" xfId="0">
      <alignment horizontal="center" vertical="top" wrapText="1"/>
    </xf>
    <xf numFmtId="0" fontId="6" fillId="4" borderId="1" applyAlignment="1" pivotButton="0" quotePrefix="0" xfId="0">
      <alignment horizontal="center" vertical="top" wrapText="1"/>
    </xf>
    <xf numFmtId="0" fontId="6" fillId="5" borderId="1" applyAlignment="1" pivotButton="0" quotePrefix="0" xfId="0">
      <alignment horizontal="center" vertical="top" wrapText="1"/>
    </xf>
    <xf numFmtId="0" fontId="6" fillId="6" borderId="1" applyAlignment="1" pivotButton="0" quotePrefix="0" xfId="0">
      <alignment horizontal="center" vertical="top" wrapText="1"/>
    </xf>
    <xf numFmtId="0" fontId="6" fillId="7" borderId="1" applyAlignment="1" pivotButton="0" quotePrefix="0" xfId="0">
      <alignment horizontal="center"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13" fillId="3" borderId="1" applyAlignment="1" pivotButton="0" quotePrefix="0" xfId="0">
      <alignment horizontal="center" vertical="top" wrapText="1"/>
    </xf>
    <xf numFmtId="0" fontId="6" fillId="8" borderId="1" applyAlignment="1" pivotButton="0" quotePrefix="0" xfId="0">
      <alignment horizontal="center" vertical="top" wrapText="1"/>
    </xf>
    <xf numFmtId="0" fontId="6" fillId="9" borderId="1" applyAlignment="1" pivotButton="0" quotePrefix="0" xfId="0">
      <alignment horizontal="general" vertical="top" wrapText="1"/>
    </xf>
    <xf numFmtId="0" fontId="6"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4DFEC"/>
          <bgColor rgb="FF000000"/>
        </patternFill>
      </fill>
    </dxf>
    <dxf>
      <fill>
        <patternFill patternType="solid">
          <fgColor rgb="FFEAF1DD"/>
          <bgColor rgb="FF000000"/>
        </patternFill>
      </fill>
    </dxf>
    <dxf>
      <fill>
        <patternFill patternType="solid">
          <fgColor rgb="FFFDE9D9"/>
          <bgColor rgb="FF000000"/>
        </patternFill>
      </fill>
    </dxf>
    <dxf>
      <fill>
        <patternFill patternType="solid">
          <fgColor rgb="FFFCE4D6"/>
          <bgColor rgb="FF000000"/>
        </patternFill>
      </fill>
    </dxf>
    <dxf>
      <fill>
        <patternFill patternType="solid">
          <fgColor rgb="FFE2EFD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6F0"/>
      <rgbColor rgb="FFE2EFDA"/>
      <rgbColor rgb="FFFDE9D9"/>
      <rgbColor rgb="FFEAF1DD"/>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6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24" min="1" max="1"/>
    <col width="40" customWidth="1" style="24" min="2" max="2"/>
    <col width="12" customWidth="1" style="24" min="3" max="3"/>
    <col width="44" customWidth="1" style="24" min="4" max="4"/>
    <col width="14" customWidth="1" style="24" min="5" max="6"/>
    <col width="16" customWidth="1" style="24" min="7" max="7"/>
  </cols>
  <sheetData>
    <row r="1" ht="21" customHeight="1" s="25">
      <c r="A1" s="26" t="inlineStr">
        <is>
          <t>기능 명세 · API 명세 (바로링크 BaroLink · 새 탭 북마크 도구)</t>
        </is>
      </c>
    </row>
    <row r="3" ht="31.5" customHeight="1" s="25">
      <c r="A3" s="27" t="inlineStr">
        <is>
          <t>기준 문서</t>
        </is>
      </c>
      <c r="B3" s="28" t="inlineStr">
        <is>
          <t>service-plan.md, 4주차 강의 자료(EARS), 확정 디자인 시안(Figma Make, 10월 6일), category-definitions.md(카테고리 정의와 분류표, 10월 7일)</t>
        </is>
      </c>
      <c r="C3" s="29" t="n"/>
      <c r="D3" s="29" t="n"/>
      <c r="E3" s="29" t="n"/>
      <c r="F3" s="29" t="n"/>
      <c r="G3" s="30" t="n"/>
    </row>
    <row r="4" ht="72" customHeight="1" s="25">
      <c r="A4" s="27" t="inlineStr">
        <is>
          <t>작성일 · 판</t>
        </is>
      </c>
      <c r="B4" s="31" t="inlineStr">
        <is>
          <t>2026-10-29 · v16 (v2: 읽어서 점검 / v3: 시험용 확장 프로그램 실행 / v4: 프로토타입 구현·검증 / v5: 남은 결정 8개 확정 / v6·v7: 상세 도메인 21개와 담당(안) 열, 파일별 역할 시트 / v8: 전체 문서 대조. 권한 요청 위치를 render.js로, store.js 함수 3줄 추가 / v9: 북마크바를 정리 대상에 포함, 새 폴더를 북마크바 맨 뒤에 생성, 요즘 쓰는 북마크 보호, 잊고 있던 북마크 8개 상한과 "연 기록 없음", 우선순위를 P1·P2·P3로 변경, 확정 디자인 시안 반영 / v10: 프로토타입 코드를 쓰지 않고 새로 작성, 화면 파일을 render.js + view/ 아래 4개로 나눔, 코드를 extension/ 폴더로 분리 / v11: 공통 화면 파일 ui.js 추가(N44~N46), 분류표 형태와 분류하지 않는 사이트(F05-01, N17), measure 출력 이름(N18), 팝업은 &lt;dialog&gt;(F12-04), 문서 이름을 영어로 변경 / v12: 5주차 활동지를 저장소에서 빼고 '관련 태스크' 열을 '관련 이슈'로 바꿈. GitHub 이슈 #1~#19 = 파일 19개('파일별 역할' 시트의 이슈 열), #22~#24 = 우선순위별 요구사항 확인 목록. N06의 출력과 C19의 주의에서 서로 어긋나던 문장을 맞춤. 크롬 가져오기 폴더의 바로 아래 북마크를 정리 대상에 포함(F05-04, N19) / v13: 화면 연결 방식 확정. 내 폴더 줄을 그리는 showFolders 추가(N41), 다른 화면 파일의 동작은 render.js가 동작 묶음(actions)으로 넘김(N30, N31, N42), showOrganizeDialog가 폴더 계획을 입력으로 받음, 화면 칸 이름은 file-structure.md 12번 / v14: 서비스 이름을 바로링크(BaroLink)로 확정. 가져오기 폴더는 한국어 크롬의 파일 가져오기만 다룸(F05-04, N19). suggestForNew의 출력을 북마크별 추천 폴더 하나로 정리하고 추천 방법을 적음(N24, F10-07) / v15: hasFavicon의 출력을 true·false에서 쓸 파비콘 주소 또는 null로 바꿈. 첫 페이지 주소에서 찾았을 때 appIcon이 그 주소로 그리게 함(N07, N44) / v16: N14 setPending 입력 필드 이름을 { id, toParentId }로 확정)</t>
        </is>
      </c>
      <c r="C4" s="29" t="n"/>
      <c r="D4" s="29" t="n"/>
      <c r="E4" s="29" t="n"/>
      <c r="F4" s="29" t="n"/>
      <c r="G4" s="30" t="n"/>
    </row>
    <row r="5" ht="31.5" customHeight="1" s="25">
      <c r="A5" s="27" t="inlineStr">
        <is>
          <t>시트 구성</t>
        </is>
      </c>
      <c r="B5" s="28" t="inlineStr">
        <is>
          <t>기능 명세 / API_크롬 / API_내부 함수 / 참고_저장 항목 / 파일별 역할. 각 시트의 첫 열은 도메인(역할)이며, 둘째 열은 담당(안). 이 시트 아래쪽에 도메인별·담당별 요약이, '파일별 역할' 시트에 파일마다 하는 일이 있음</t>
        </is>
      </c>
      <c r="C5" s="29" t="n"/>
      <c r="D5" s="29" t="n"/>
      <c r="E5" s="29" t="n"/>
      <c r="F5" s="29" t="n"/>
      <c r="G5" s="30" t="n"/>
    </row>
    <row r="6" ht="31.5" customHeight="1" s="25">
      <c r="A6" s="27" t="inlineStr">
        <is>
          <t>요구사항 문장</t>
        </is>
      </c>
      <c r="B6" s="31" t="inlineStr">
        <is>
          <t>4주차 EARS 형식. WHEN(사건)·WHILE(상태)·IF…THEN(예외) + THE(주체) + SHALL(동작·결과). 정상 경로와 예외 경로를 함께 적음</t>
        </is>
      </c>
      <c r="C6" s="29" t="n"/>
      <c r="D6" s="29" t="n"/>
      <c r="E6" s="29" t="n"/>
      <c r="F6" s="29" t="n"/>
      <c r="G6" s="30" t="n"/>
    </row>
    <row r="7" ht="31.5" customHeight="1" s="25">
      <c r="A7" s="32" t="inlineStr">
        <is>
          <t>ID 규칙</t>
        </is>
      </c>
      <c r="B7" s="28" t="inlineStr">
        <is>
          <t>기능 F01~F17 / 요구사항 F01-01 / 크롬 API C01~ / 내부 함수 N01~ / GitHub 이슈 #1~#19 = 파일 19개, #22~#24 = P1·P2·P3 확인 목록 (v12)</t>
        </is>
      </c>
      <c r="C7" s="29" t="n"/>
      <c r="D7" s="29" t="n"/>
      <c r="E7" s="29" t="n"/>
      <c r="F7" s="29" t="n"/>
      <c r="G7" s="30" t="n"/>
    </row>
    <row r="8" ht="18" customHeight="1" s="25">
      <c r="A8" s="27" t="inlineStr">
        <is>
          <t>비고의 '제안'</t>
        </is>
      </c>
      <c r="B8" s="28" t="inlineStr">
        <is>
          <t>계획 문서에 없어서 임시로 채운 내용. 팀에서 확정하거나 고쳐야 함 (노란색 칸)</t>
        </is>
      </c>
      <c r="C8" s="29" t="n"/>
      <c r="D8" s="29" t="n"/>
      <c r="E8" s="29" t="n"/>
      <c r="F8" s="29" t="n"/>
      <c r="G8" s="30" t="n"/>
    </row>
    <row r="9" ht="18" customHeight="1" s="25">
      <c r="A9" s="27" t="inlineStr">
        <is>
          <t>비고의 '확인 필요'</t>
        </is>
      </c>
      <c r="B9" s="28" t="inlineStr">
        <is>
          <t>팀 결정이나 개발 첫 주 실험이 있어야 정해지는 내용 (노란색 칸)</t>
        </is>
      </c>
      <c r="C9" s="29" t="n"/>
      <c r="D9" s="29" t="n"/>
      <c r="E9" s="29" t="n"/>
      <c r="F9" s="29" t="n"/>
      <c r="G9" s="30" t="n"/>
    </row>
    <row r="10" ht="31.5" customHeight="1" s="25">
      <c r="A10" s="27" t="inlineStr">
        <is>
          <t>비고의 '실행 확인'</t>
        </is>
      </c>
      <c r="B10" s="28" t="inlineStr">
        <is>
          <t>시험용 확장 프로그램을 Chromium 141에서 실제로 돌려 확인한 내용 (초록색 칸). '수정'·'추가'는 점검으로 고친 줄</t>
        </is>
      </c>
      <c r="C10" s="29" t="n"/>
      <c r="D10" s="29" t="n"/>
      <c r="E10" s="29" t="n"/>
      <c r="F10" s="29" t="n"/>
      <c r="G10" s="30" t="n"/>
    </row>
    <row r="11" ht="31.5" customHeight="1" s="25">
      <c r="A11" s="27" t="inlineStr">
        <is>
          <t>수정 방법</t>
        </is>
      </c>
      <c r="B11" s="28" t="inlineStr">
        <is>
          <t>요구사항을 바꿀 때는 '기능 명세' 시트의 G열(요구사항) 문장을 고치고, 관련된 API 시트의 '관련 기능' 열을 함께 확인</t>
        </is>
      </c>
      <c r="C11" s="29" t="n"/>
      <c r="D11" s="29" t="n"/>
      <c r="E11" s="29" t="n"/>
      <c r="F11" s="29" t="n"/>
      <c r="G11" s="30" t="n"/>
    </row>
    <row r="12" ht="29.25" customHeight="1" s="25">
      <c r="A12" s="27" t="inlineStr">
        <is>
          <t>우선순위</t>
        </is>
      </c>
      <c r="B12" s="28" t="inlineStr">
        <is>
          <t>P1: 11주 중간 데모에서 끝까지 동작 / P2: 15주 최종 데모까지 / P3: 시간이 남으면. 요구사항마다 '기능 명세' 시트 F열에 적음 (v9, Must·Should에서 변경)</t>
        </is>
      </c>
      <c r="C12" s="29" t="n"/>
      <c r="D12" s="29" t="n"/>
      <c r="E12" s="29" t="n"/>
      <c r="F12" s="29" t="n"/>
      <c r="G12" s="30" t="n"/>
    </row>
    <row r="14" ht="15" customHeight="1" s="25">
      <c r="A14" s="33" t="inlineStr">
        <is>
          <t>기능 ID</t>
        </is>
      </c>
      <c r="B14" s="33" t="inlineStr">
        <is>
          <t>기능명</t>
        </is>
      </c>
      <c r="C14" s="33" t="inlineStr">
        <is>
          <t>우선순위</t>
        </is>
      </c>
      <c r="D14" s="33" t="inlineStr">
        <is>
          <t>관련 이슈</t>
        </is>
      </c>
      <c r="E14" s="33" t="inlineStr">
        <is>
          <t>요구사항 수</t>
        </is>
      </c>
      <c r="F14" s="33" t="inlineStr">
        <is>
          <t>그중 예외 경로</t>
        </is>
      </c>
      <c r="G14" s="33" t="inlineStr">
        <is>
          <t>제안·확인 필요 수</t>
        </is>
      </c>
    </row>
    <row r="15" ht="15" customHeight="1" s="25">
      <c r="A15" s="34" t="inlineStr">
        <is>
          <t>F01</t>
        </is>
      </c>
      <c r="B15" s="28" t="inlineStr">
        <is>
          <t>크롬 북마크 자동 동기화</t>
        </is>
      </c>
      <c r="C15" s="34" t="inlineStr">
        <is>
          <t>P1</t>
        </is>
      </c>
      <c r="D15" s="34" t="inlineStr">
        <is>
          <t>#22</t>
        </is>
      </c>
      <c r="E15" s="34">
        <f>COUNTIF('기능 명세'!$D:$D,A15)</f>
        <v/>
      </c>
      <c r="F15" s="34">
        <f>COUNTIFS('기능 명세'!$D:$D,A15,'기능 명세'!$H:$H,"예외")</f>
        <v/>
      </c>
      <c r="G15" s="34">
        <f>COUNTIFS('기능 명세'!$D:$D,A15,'기능 명세'!$N:$N,"제안*")+COUNTIFS('기능 명세'!$D:$D,A15,'기능 명세'!$N:$N,"확인 필요*")</f>
        <v/>
      </c>
    </row>
    <row r="16" ht="15" customHeight="1" s="25">
      <c r="A16" s="34" t="inlineStr">
        <is>
          <t>F02</t>
        </is>
      </c>
      <c r="B16" s="28" t="inlineStr">
        <is>
          <t>앱 형태 북마크</t>
        </is>
      </c>
      <c r="C16" s="34" t="inlineStr">
        <is>
          <t>P1</t>
        </is>
      </c>
      <c r="D16" s="34" t="inlineStr">
        <is>
          <t>#22</t>
        </is>
      </c>
      <c r="E16" s="34">
        <f>COUNTIF('기능 명세'!$D:$D,A16)</f>
        <v/>
      </c>
      <c r="F16" s="34">
        <f>COUNTIFS('기능 명세'!$D:$D,A16,'기능 명세'!$H:$H,"예외")</f>
        <v/>
      </c>
      <c r="G16" s="34">
        <f>COUNTIFS('기능 명세'!$D:$D,A16,'기능 명세'!$N:$N,"제안*")+COUNTIFS('기능 명세'!$D:$D,A16,'기능 명세'!$N:$N,"확인 필요*")</f>
        <v/>
      </c>
    </row>
    <row r="17" ht="15" customHeight="1" s="25">
      <c r="A17" s="34" t="inlineStr">
        <is>
          <t>F03</t>
        </is>
      </c>
      <c r="B17" s="28" t="inlineStr">
        <is>
          <t>앱 폴더</t>
        </is>
      </c>
      <c r="C17" s="34" t="inlineStr">
        <is>
          <t>P1 · P2</t>
        </is>
      </c>
      <c r="D17" s="34" t="inlineStr">
        <is>
          <t>#22, #23</t>
        </is>
      </c>
      <c r="E17" s="34">
        <f>COUNTIF('기능 명세'!$D:$D,A17)</f>
        <v/>
      </c>
      <c r="F17" s="34">
        <f>COUNTIFS('기능 명세'!$D:$D,A17,'기능 명세'!$H:$H,"예외")</f>
        <v/>
      </c>
      <c r="G17" s="34">
        <f>COUNTIFS('기능 명세'!$D:$D,A17,'기능 명세'!$N:$N,"제안*")+COUNTIFS('기능 명세'!$D:$D,A17,'기능 명세'!$N:$N,"확인 필요*")</f>
        <v/>
      </c>
    </row>
    <row r="18" ht="15" customHeight="1" s="25">
      <c r="A18" s="34" t="inlineStr">
        <is>
          <t>F04</t>
        </is>
      </c>
      <c r="B18" s="28" t="inlineStr">
        <is>
          <t>잊고 있던 북마크 (재발견)</t>
        </is>
      </c>
      <c r="C18" s="34" t="inlineStr">
        <is>
          <t>P1 · P2</t>
        </is>
      </c>
      <c r="D18" s="34" t="inlineStr">
        <is>
          <t>#22, #23</t>
        </is>
      </c>
      <c r="E18" s="34">
        <f>COUNTIF('기능 명세'!$D:$D,A18)</f>
        <v/>
      </c>
      <c r="F18" s="34">
        <f>COUNTIFS('기능 명세'!$D:$D,A18,'기능 명세'!$H:$H,"예외")</f>
        <v/>
      </c>
      <c r="G18" s="34">
        <f>COUNTIFS('기능 명세'!$D:$D,A18,'기능 명세'!$N:$N,"제안*")+COUNTIFS('기능 명세'!$D:$D,A18,'기능 명세'!$N:$N,"확인 필요*")</f>
        <v/>
      </c>
    </row>
    <row r="19" ht="15" customHeight="1" s="25">
      <c r="A19" s="34" t="inlineStr">
        <is>
          <t>F05</t>
        </is>
      </c>
      <c r="B19" s="28" t="inlineStr">
        <is>
          <t>분류와 폴더 계획</t>
        </is>
      </c>
      <c r="C19" s="34" t="inlineStr">
        <is>
          <t>P1</t>
        </is>
      </c>
      <c r="D19" s="34" t="inlineStr">
        <is>
          <t>#22</t>
        </is>
      </c>
      <c r="E19" s="34">
        <f>COUNTIF('기능 명세'!$D:$D,A19)</f>
        <v/>
      </c>
      <c r="F19" s="34">
        <f>COUNTIFS('기능 명세'!$D:$D,A19,'기능 명세'!$H:$H,"예외")</f>
        <v/>
      </c>
      <c r="G19" s="34">
        <f>COUNTIFS('기능 명세'!$D:$D,A19,'기능 명세'!$N:$N,"제안*")+COUNTIFS('기능 명세'!$D:$D,A19,'기능 명세'!$N:$N,"확인 필요*")</f>
        <v/>
      </c>
    </row>
    <row r="20" ht="15" customHeight="1" s="25">
      <c r="A20" s="34" t="inlineStr">
        <is>
          <t>F06</t>
        </is>
      </c>
      <c r="B20" s="28" t="inlineStr">
        <is>
          <t>첫 정리 카드 + 자세히 보기</t>
        </is>
      </c>
      <c r="C20" s="34" t="inlineStr">
        <is>
          <t>P1 · P2</t>
        </is>
      </c>
      <c r="D20" s="34" t="inlineStr">
        <is>
          <t>#22, #23</t>
        </is>
      </c>
      <c r="E20" s="34">
        <f>COUNTIF('기능 명세'!$D:$D,A20)</f>
        <v/>
      </c>
      <c r="F20" s="34">
        <f>COUNTIFS('기능 명세'!$D:$D,A20,'기능 명세'!$H:$H,"예외")</f>
        <v/>
      </c>
      <c r="G20" s="34">
        <f>COUNTIFS('기능 명세'!$D:$D,A20,'기능 명세'!$N:$N,"제안*")+COUNTIFS('기능 명세'!$D:$D,A20,'기능 명세'!$N:$N,"확인 필요*")</f>
        <v/>
      </c>
    </row>
    <row r="21" ht="15" customHeight="1" s="25">
      <c r="A21" s="34" t="inlineStr">
        <is>
          <t>F07</t>
        </is>
      </c>
      <c r="B21" s="28" t="inlineStr">
        <is>
          <t>정리 적용 + 직접 옮김 처리</t>
        </is>
      </c>
      <c r="C21" s="34" t="inlineStr">
        <is>
          <t>P1 · P2</t>
        </is>
      </c>
      <c r="D21" s="34" t="inlineStr">
        <is>
          <t>#22, #23</t>
        </is>
      </c>
      <c r="E21" s="34">
        <f>COUNTIF('기능 명세'!$D:$D,A21)</f>
        <v/>
      </c>
      <c r="F21" s="34">
        <f>COUNTIFS('기능 명세'!$D:$D,A21,'기능 명세'!$H:$H,"예외")</f>
        <v/>
      </c>
      <c r="G21" s="34">
        <f>COUNTIFS('기능 명세'!$D:$D,A21,'기능 명세'!$N:$N,"제안*")+COUNTIFS('기능 명세'!$D:$D,A21,'기능 명세'!$N:$N,"확인 필요*")</f>
        <v/>
      </c>
    </row>
    <row r="22" ht="15" customHeight="1" s="25">
      <c r="A22" s="34" t="inlineStr">
        <is>
          <t>F08</t>
        </is>
      </c>
      <c r="B22" s="28" t="inlineStr">
        <is>
          <t>고정됨 (독)</t>
        </is>
      </c>
      <c r="C22" s="34" t="inlineStr">
        <is>
          <t>P2</t>
        </is>
      </c>
      <c r="D22" s="34" t="inlineStr">
        <is>
          <t>#23</t>
        </is>
      </c>
      <c r="E22" s="34">
        <f>COUNTIF('기능 명세'!$D:$D,A22)</f>
        <v/>
      </c>
      <c r="F22" s="34">
        <f>COUNTIFS('기능 명세'!$D:$D,A22,'기능 명세'!$H:$H,"예외")</f>
        <v/>
      </c>
      <c r="G22" s="34">
        <f>COUNTIFS('기능 명세'!$D:$D,A22,'기능 명세'!$N:$N,"제안*")+COUNTIFS('기능 명세'!$D:$D,A22,'기능 명세'!$N:$N,"확인 필요*")</f>
        <v/>
      </c>
    </row>
    <row r="23" ht="15" customHeight="1" s="25">
      <c r="A23" s="34" t="inlineStr">
        <is>
          <t>F09</t>
        </is>
      </c>
      <c r="B23" s="28" t="inlineStr">
        <is>
          <t>폴더를 못 만들 때 고정 제안</t>
        </is>
      </c>
      <c r="C23" s="34" t="inlineStr">
        <is>
          <t>P2</t>
        </is>
      </c>
      <c r="D23" s="34" t="inlineStr">
        <is>
          <t>#23</t>
        </is>
      </c>
      <c r="E23" s="34">
        <f>COUNTIF('기능 명세'!$D:$D,A23)</f>
        <v/>
      </c>
      <c r="F23" s="34">
        <f>COUNTIFS('기능 명세'!$D:$D,A23,'기능 명세'!$H:$H,"예외")</f>
        <v/>
      </c>
      <c r="G23" s="34">
        <f>COUNTIFS('기능 명세'!$D:$D,A23,'기능 명세'!$N:$N,"제안*")+COUNTIFS('기능 명세'!$D:$D,A23,'기능 명세'!$N:$N,"확인 필요*")</f>
        <v/>
      </c>
    </row>
    <row r="24" ht="15" customHeight="1" s="25">
      <c r="A24" s="34" t="inlineStr">
        <is>
          <t>F10</t>
        </is>
      </c>
      <c r="B24" s="28" t="inlineStr">
        <is>
          <t>새 북마크 정리 ([정리하기])</t>
        </is>
      </c>
      <c r="C24" s="34" t="inlineStr">
        <is>
          <t>P2</t>
        </is>
      </c>
      <c r="D24" s="34" t="inlineStr">
        <is>
          <t>#23</t>
        </is>
      </c>
      <c r="E24" s="34">
        <f>COUNTIF('기능 명세'!$D:$D,A24)</f>
        <v/>
      </c>
      <c r="F24" s="34">
        <f>COUNTIFS('기능 명세'!$D:$D,A24,'기능 명세'!$H:$H,"예외")</f>
        <v/>
      </c>
      <c r="G24" s="34">
        <f>COUNTIFS('기능 명세'!$D:$D,A24,'기능 명세'!$N:$N,"제안*")+COUNTIFS('기능 명세'!$D:$D,A24,'기능 명세'!$N:$N,"확인 필요*")</f>
        <v/>
      </c>
    </row>
    <row r="25" ht="15" customHeight="1" s="25">
      <c r="A25" s="34" t="inlineStr">
        <is>
          <t>F11</t>
        </is>
      </c>
      <c r="B25" s="28" t="inlineStr">
        <is>
          <t>웹 검색창 (크롬 검색 유지)</t>
        </is>
      </c>
      <c r="C25" s="34" t="inlineStr">
        <is>
          <t>P1</t>
        </is>
      </c>
      <c r="D25" s="34" t="inlineStr">
        <is>
          <t>#22</t>
        </is>
      </c>
      <c r="E25" s="34">
        <f>COUNTIF('기능 명세'!$D:$D,A25)</f>
        <v/>
      </c>
      <c r="F25" s="34">
        <f>COUNTIFS('기능 명세'!$D:$D,A25,'기능 명세'!$H:$H,"예외")</f>
        <v/>
      </c>
      <c r="G25" s="34">
        <f>COUNTIFS('기능 명세'!$D:$D,A25,'기능 명세'!$N:$N,"제안*")+COUNTIFS('기능 명세'!$D:$D,A25,'기능 명세'!$N:$N,"확인 필요*")</f>
        <v/>
      </c>
    </row>
    <row r="26" ht="15" customHeight="1" s="25">
      <c r="A26" s="34" t="inlineStr">
        <is>
          <t>F12</t>
        </is>
      </c>
      <c r="B26" s="28" t="inlineStr">
        <is>
          <t>새 탭 첫 화면 배치 + 반응형</t>
        </is>
      </c>
      <c r="C26" s="34" t="inlineStr">
        <is>
          <t>P1</t>
        </is>
      </c>
      <c r="D26" s="34" t="inlineStr">
        <is>
          <t>#22</t>
        </is>
      </c>
      <c r="E26" s="34">
        <f>COUNTIF('기능 명세'!$D:$D,A26)</f>
        <v/>
      </c>
      <c r="F26" s="34">
        <f>COUNTIFS('기능 명세'!$D:$D,A26,'기능 명세'!$H:$H,"예외")</f>
        <v/>
      </c>
      <c r="G26" s="34">
        <f>COUNTIFS('기능 명세'!$D:$D,A26,'기능 명세'!$N:$N,"제안*")+COUNTIFS('기능 명세'!$D:$D,A26,'기능 명세'!$N:$N,"확인 필요*")</f>
        <v/>
      </c>
    </row>
    <row r="27" ht="15" customHeight="1" s="25">
      <c r="A27" s="34" t="inlineStr">
        <is>
          <t>F13</t>
        </is>
      </c>
      <c r="B27" s="28" t="inlineStr">
        <is>
          <t>정리 되돌리기 + 정리 기록 화면</t>
        </is>
      </c>
      <c r="C27" s="34" t="inlineStr">
        <is>
          <t>P1 · P2</t>
        </is>
      </c>
      <c r="D27" s="34" t="inlineStr">
        <is>
          <t>#22, #23</t>
        </is>
      </c>
      <c r="E27" s="34">
        <f>COUNTIF('기능 명세'!$D:$D,A27)</f>
        <v/>
      </c>
      <c r="F27" s="34">
        <f>COUNTIFS('기능 명세'!$D:$D,A27,'기능 명세'!$H:$H,"예외")</f>
        <v/>
      </c>
      <c r="G27" s="34">
        <f>COUNTIFS('기능 명세'!$D:$D,A27,'기능 명세'!$N:$N,"제안*")+COUNTIFS('기능 명세'!$D:$D,A27,'기능 명세'!$N:$N,"확인 필요*")</f>
        <v/>
      </c>
    </row>
    <row r="28" ht="15" customHeight="1" s="25">
      <c r="A28" s="34" t="inlineStr">
        <is>
          <t>F14</t>
        </is>
      </c>
      <c r="B28" s="28" t="inlineStr">
        <is>
          <t>북마크 검색</t>
        </is>
      </c>
      <c r="C28" s="34" t="inlineStr">
        <is>
          <t>P2</t>
        </is>
      </c>
      <c r="D28" s="34" t="inlineStr">
        <is>
          <t>#23</t>
        </is>
      </c>
      <c r="E28" s="34">
        <f>COUNTIF('기능 명세'!$D:$D,A28)</f>
        <v/>
      </c>
      <c r="F28" s="34">
        <f>COUNTIFS('기능 명세'!$D:$D,A28,'기능 명세'!$H:$H,"예외")</f>
        <v/>
      </c>
      <c r="G28" s="34">
        <f>COUNTIFS('기능 명세'!$D:$D,A28,'기능 명세'!$N:$N,"제안*")+COUNTIFS('기능 명세'!$D:$D,A28,'기능 명세'!$N:$N,"확인 필요*")</f>
        <v/>
      </c>
    </row>
    <row r="29" ht="15" customHeight="1" s="25">
      <c r="A29" s="34" t="inlineStr">
        <is>
          <t>F15</t>
        </is>
      </c>
      <c r="B29" s="28" t="inlineStr">
        <is>
          <t>우클릭 폴더 이동</t>
        </is>
      </c>
      <c r="C29" s="34" t="inlineStr">
        <is>
          <t>P2</t>
        </is>
      </c>
      <c r="D29" s="34" t="inlineStr">
        <is>
          <t>#23</t>
        </is>
      </c>
      <c r="E29" s="34">
        <f>COUNTIF('기능 명세'!$D:$D,A29)</f>
        <v/>
      </c>
      <c r="F29" s="34">
        <f>COUNTIFS('기능 명세'!$D:$D,A29,'기능 명세'!$H:$H,"예외")</f>
        <v/>
      </c>
      <c r="G29" s="34">
        <f>COUNTIFS('기능 명세'!$D:$D,A29,'기능 명세'!$N:$N,"제안*")+COUNTIFS('기능 명세'!$D:$D,A29,'기능 명세'!$N:$N,"확인 필요*")</f>
        <v/>
      </c>
    </row>
    <row r="30" ht="15" customHeight="1" s="25">
      <c r="A30" s="34" t="inlineStr">
        <is>
          <t>F16</t>
        </is>
      </c>
      <c r="B30" s="28" t="inlineStr">
        <is>
          <t>세부 폴더 제안</t>
        </is>
      </c>
      <c r="C30" s="34" t="inlineStr">
        <is>
          <t>P3</t>
        </is>
      </c>
      <c r="D30" s="34" t="inlineStr">
        <is>
          <t>#24</t>
        </is>
      </c>
      <c r="E30" s="34">
        <f>COUNTIF('기능 명세'!$D:$D,A30)</f>
        <v/>
      </c>
      <c r="F30" s="34">
        <f>COUNTIFS('기능 명세'!$D:$D,A30,'기능 명세'!$H:$H,"예외")</f>
        <v/>
      </c>
      <c r="G30" s="34">
        <f>COUNTIFS('기능 명세'!$D:$D,A30,'기능 명세'!$N:$N,"제안*")+COUNTIFS('기능 명세'!$D:$D,A30,'기능 명세'!$N:$N,"확인 필요*")</f>
        <v/>
      </c>
    </row>
    <row r="31" ht="15" customHeight="1" s="25">
      <c r="A31" s="34" t="inlineStr">
        <is>
          <t>F17</t>
        </is>
      </c>
      <c r="B31" s="28" t="inlineStr">
        <is>
          <t>드래그 이동</t>
        </is>
      </c>
      <c r="C31" s="34" t="inlineStr">
        <is>
          <t>P3</t>
        </is>
      </c>
      <c r="D31" s="34" t="inlineStr">
        <is>
          <t>#24</t>
        </is>
      </c>
      <c r="E31" s="34">
        <f>COUNTIF('기능 명세'!$D:$D,A31)</f>
        <v/>
      </c>
      <c r="F31" s="34">
        <f>COUNTIFS('기능 명세'!$D:$D,A31,'기능 명세'!$H:$H,"예외")</f>
        <v/>
      </c>
      <c r="G31" s="34">
        <f>COUNTIFS('기능 명세'!$D:$D,A31,'기능 명세'!$N:$N,"제안*")+COUNTIFS('기능 명세'!$D:$D,A31,'기능 명세'!$N:$N,"확인 필요*")</f>
        <v/>
      </c>
    </row>
    <row r="32" ht="15" customHeight="1" s="25">
      <c r="A32" s="35" t="inlineStr">
        <is>
          <t>합계</t>
        </is>
      </c>
      <c r="B32" s="36" t="n"/>
      <c r="C32" s="36" t="n"/>
      <c r="D32" s="36" t="n"/>
      <c r="E32" s="37">
        <f>SUM(E15:E31)</f>
        <v/>
      </c>
      <c r="F32" s="37">
        <f>SUM(F15:F31)</f>
        <v/>
      </c>
      <c r="G32" s="37">
        <f>SUM(G15:G31)</f>
        <v/>
      </c>
    </row>
    <row r="34" ht="16.5" customHeight="1" s="25">
      <c r="A34" s="38" t="inlineStr">
        <is>
          <t>도메인별 요약 (상세 도메인 21개)</t>
        </is>
      </c>
    </row>
    <row r="35" ht="15" customHeight="1" s="25">
      <c r="A35" s="33" t="inlineStr">
        <is>
          <t>도메인</t>
        </is>
      </c>
      <c r="B35" s="33" t="inlineStr">
        <is>
          <t>하는 일</t>
        </is>
      </c>
      <c r="C35" s="33" t="inlineStr">
        <is>
          <t>담당(안)</t>
        </is>
      </c>
      <c r="D35" s="33" t="inlineStr">
        <is>
          <t>관련 파일</t>
        </is>
      </c>
      <c r="E35" s="33" t="inlineStr">
        <is>
          <t>요구사항 수</t>
        </is>
      </c>
      <c r="F35" s="33" t="inlineStr">
        <is>
          <t>내부 함수 수</t>
        </is>
      </c>
      <c r="G35" s="33" t="inlineStr">
        <is>
          <t>크롬 API 수</t>
        </is>
      </c>
      <c r="H35" s="33" t="n"/>
    </row>
    <row r="36" ht="15" customHeight="1" s="25">
      <c r="A36" s="39" t="inlineStr">
        <is>
          <t>확장 프로그램 설정</t>
        </is>
      </c>
      <c r="B36" s="28" t="inlineStr">
        <is>
          <t>권한, 새 탭 바꾸기, 서비스 워커 등록</t>
        </is>
      </c>
      <c r="C36" s="40" t="inlineStr">
        <is>
          <t>팀원 A</t>
        </is>
      </c>
      <c r="D36" s="31" t="inlineStr">
        <is>
          <t>manifest.json</t>
        </is>
      </c>
      <c r="E36" s="39">
        <f>COUNTIF('기능 명세'!$A:$A,A36)</f>
        <v/>
      </c>
      <c r="F36" s="39">
        <f>COUNTIF('API_내부 함수'!$A:$A,A36)</f>
        <v/>
      </c>
      <c r="G36" s="39">
        <f>COUNTIF(API_크롬!$A:$A,A36)</f>
        <v/>
      </c>
      <c r="H36" s="39" t="n"/>
    </row>
    <row r="37" ht="15" customHeight="1" s="25">
      <c r="A37" s="39" t="inlineStr">
        <is>
          <t>북마크 동기화</t>
        </is>
      </c>
      <c r="B37" s="28" t="inlineStr">
        <is>
          <t>크롬 북마크를 읽고, 바뀌면 화면에 자동 반영</t>
        </is>
      </c>
      <c r="C37" s="40" t="inlineStr">
        <is>
          <t>팀원 A</t>
        </is>
      </c>
      <c r="D37" s="31" t="inlineStr">
        <is>
          <t>bookmarks.js</t>
        </is>
      </c>
      <c r="E37" s="39">
        <f>COUNTIF('기능 명세'!$A:$A,A37)</f>
        <v/>
      </c>
      <c r="F37" s="39">
        <f>COUNTIF('API_내부 함수'!$A:$A,A37)</f>
        <v/>
      </c>
      <c r="G37" s="39">
        <f>COUNTIF(API_크롬!$A:$A,A37)</f>
        <v/>
      </c>
      <c r="H37" s="39" t="n"/>
    </row>
    <row r="38" ht="29.25" customHeight="1" s="25">
      <c r="A38" s="39" t="inlineStr">
        <is>
          <t>저장 항목</t>
        </is>
      </c>
      <c r="B38" s="28" t="inlineStr">
        <is>
          <t>우리가 따로 기억하는 정보(chrome.storage.local)를 읽고 쓰기</t>
        </is>
      </c>
      <c r="C38" s="40" t="inlineStr">
        <is>
          <t>팀원 A</t>
        </is>
      </c>
      <c r="D38" s="31" t="inlineStr">
        <is>
          <t>background.js, store.js</t>
        </is>
      </c>
      <c r="E38" s="39">
        <f>COUNTIF('기능 명세'!$A:$A,A38)</f>
        <v/>
      </c>
      <c r="F38" s="39">
        <f>COUNTIF('API_내부 함수'!$A:$A,A38)</f>
        <v/>
      </c>
      <c r="G38" s="39">
        <f>COUNTIF(API_크롬!$A:$A,A38)</f>
        <v/>
      </c>
      <c r="H38" s="39" t="n"/>
    </row>
    <row r="39" ht="15" customHeight="1" s="25">
      <c r="A39" s="39" t="inlineStr">
        <is>
          <t>앱 표시·열기</t>
        </is>
      </c>
      <c r="B39" s="28" t="inlineStr">
        <is>
          <t>북마크를 앱 아이콘으로 보여 주고, 눌렀을 때 열기</t>
        </is>
      </c>
      <c r="C39" s="41" t="inlineStr">
        <is>
          <t>팀원 D</t>
        </is>
      </c>
      <c r="D39" s="31" t="inlineStr">
        <is>
          <t>bookmarks.js, ui.js</t>
        </is>
      </c>
      <c r="E39" s="39">
        <f>COUNTIF('기능 명세'!$A:$A,A39)</f>
        <v/>
      </c>
      <c r="F39" s="39">
        <f>COUNTIF('API_내부 함수'!$A:$A,A39)</f>
        <v/>
      </c>
      <c r="G39" s="39">
        <f>COUNTIF(API_크롬!$A:$A,A39)</f>
        <v/>
      </c>
      <c r="H39" s="39" t="n"/>
    </row>
    <row r="40" ht="15" customHeight="1" s="25">
      <c r="A40" s="39" t="inlineStr">
        <is>
          <t>앱 폴더</t>
        </is>
      </c>
      <c r="B40" s="28" t="inlineStr">
        <is>
          <t>폴더 열기·만들기·이름 바꾸기·삭제</t>
        </is>
      </c>
      <c r="C40" s="42" t="inlineStr">
        <is>
          <t>팀원 C</t>
        </is>
      </c>
      <c r="D40" s="31" t="inlineStr">
        <is>
          <t>bookmarks.js, view/folders.js</t>
        </is>
      </c>
      <c r="E40" s="39">
        <f>COUNTIF('기능 명세'!$A:$A,A40)</f>
        <v/>
      </c>
      <c r="F40" s="39">
        <f>COUNTIF('API_내부 함수'!$A:$A,A40)</f>
        <v/>
      </c>
      <c r="G40" s="39">
        <f>COUNTIF(API_크롬!$A:$A,A40)</f>
        <v/>
      </c>
      <c r="H40" s="39" t="n"/>
    </row>
    <row r="41" ht="29.25" customHeight="1" s="25">
      <c r="A41" s="39" t="inlineStr">
        <is>
          <t>분류 규칙</t>
        </is>
      </c>
      <c r="B41" s="28" t="inlineStr">
        <is>
          <t>북마크를 분류표·주소 끝·제목 키워드로 카테고리에 넣기</t>
        </is>
      </c>
      <c r="C41" s="43" t="inlineStr">
        <is>
          <t>팀원 B</t>
        </is>
      </c>
      <c r="D41" s="31" t="inlineStr">
        <is>
          <t>classify.js</t>
        </is>
      </c>
      <c r="E41" s="39">
        <f>COUNTIF('기능 명세'!$A:$A,A41)</f>
        <v/>
      </c>
      <c r="F41" s="39">
        <f>COUNTIF('API_내부 함수'!$A:$A,A41)</f>
        <v/>
      </c>
      <c r="G41" s="39">
        <f>COUNTIF(API_크롬!$A:$A,A41)</f>
        <v/>
      </c>
      <c r="H41" s="39" t="n"/>
    </row>
    <row r="42" ht="29.25" customHeight="1" s="25">
      <c r="A42" s="39" t="inlineStr">
        <is>
          <t>폴더 계획</t>
        </is>
      </c>
      <c r="B42" s="28" t="inlineStr">
        <is>
          <t>정리 대상을 고르고, 만들 폴더와 넣을 북마크를 정하기</t>
        </is>
      </c>
      <c r="C42" s="42" t="inlineStr">
        <is>
          <t>팀원 C</t>
        </is>
      </c>
      <c r="D42" s="31" t="inlineStr">
        <is>
          <t>plan.js</t>
        </is>
      </c>
      <c r="E42" s="39">
        <f>COUNTIF('기능 명세'!$A:$A,A42)</f>
        <v/>
      </c>
      <c r="F42" s="39">
        <f>COUNTIF('API_내부 함수'!$A:$A,A42)</f>
        <v/>
      </c>
      <c r="G42" s="39">
        <f>COUNTIF(API_크롬!$A:$A,A42)</f>
        <v/>
      </c>
      <c r="H42" s="39" t="n"/>
    </row>
    <row r="43" ht="15" customHeight="1" s="25">
      <c r="A43" s="39" t="inlineStr">
        <is>
          <t>정리 카드</t>
        </is>
      </c>
      <c r="B43" s="28" t="inlineStr">
        <is>
          <t>첫 정리 제안 카드와 자세히 보기</t>
        </is>
      </c>
      <c r="C43" s="41" t="inlineStr">
        <is>
          <t>팀원 D</t>
        </is>
      </c>
      <c r="D43" s="31" t="inlineStr">
        <is>
          <t>store.js, view/cards.js</t>
        </is>
      </c>
      <c r="E43" s="39">
        <f>COUNTIF('기능 명세'!$A:$A,A43)</f>
        <v/>
      </c>
      <c r="F43" s="39">
        <f>COUNTIF('API_내부 함수'!$A:$A,A43)</f>
        <v/>
      </c>
      <c r="G43" s="39">
        <f>COUNTIF(API_크롬!$A:$A,A43)</f>
        <v/>
      </c>
      <c r="H43" s="39" t="n"/>
    </row>
    <row r="44" ht="15" customHeight="1" s="25">
      <c r="A44" s="39" t="inlineStr">
        <is>
          <t>정리 적용</t>
        </is>
      </c>
      <c r="B44" s="28" t="inlineStr">
        <is>
          <t>계획대로 폴더를 만들고 북마크를 실제로 옮기기</t>
        </is>
      </c>
      <c r="C44" s="40" t="inlineStr">
        <is>
          <t>팀원 A</t>
        </is>
      </c>
      <c r="D44" s="31" t="inlineStr">
        <is>
          <t>bookmarks.js, organize.js</t>
        </is>
      </c>
      <c r="E44" s="39">
        <f>COUNTIF('기능 명세'!$A:$A,A44)</f>
        <v/>
      </c>
      <c r="F44" s="39">
        <f>COUNTIF('API_내부 함수'!$A:$A,A44)</f>
        <v/>
      </c>
      <c r="G44" s="39">
        <f>COUNTIF(API_크롬!$A:$A,A44)</f>
        <v/>
      </c>
      <c r="H44" s="39" t="n"/>
    </row>
    <row r="45" ht="29.25" customHeight="1" s="25">
      <c r="A45" s="39" t="inlineStr">
        <is>
          <t>직접 옮김 감지</t>
        </is>
      </c>
      <c r="B45" s="28" t="inlineStr">
        <is>
          <t>사용자가 직접 옮긴 것과 우리 정리가 옮긴 것을 구별해 기록</t>
        </is>
      </c>
      <c r="C45" s="43" t="inlineStr">
        <is>
          <t>팀원 B</t>
        </is>
      </c>
      <c r="D45" s="31" t="inlineStr">
        <is>
          <t>background.js, store.js</t>
        </is>
      </c>
      <c r="E45" s="39">
        <f>COUNTIF('기능 명세'!$A:$A,A45)</f>
        <v/>
      </c>
      <c r="F45" s="39">
        <f>COUNTIF('API_내부 함수'!$A:$A,A45)</f>
        <v/>
      </c>
      <c r="G45" s="39">
        <f>COUNTIF(API_크롬!$A:$A,A45)</f>
        <v/>
      </c>
      <c r="H45" s="39" t="n"/>
    </row>
    <row r="46" ht="15" customHeight="1" s="25">
      <c r="A46" s="39" t="inlineStr">
        <is>
          <t>되돌리기·정리 기록</t>
        </is>
      </c>
      <c r="B46" s="28" t="inlineStr">
        <is>
          <t>정리 내역을 보여 주고 원래 위치로 되돌리기</t>
        </is>
      </c>
      <c r="C46" s="40" t="inlineStr">
        <is>
          <t>팀원 A</t>
        </is>
      </c>
      <c r="D46" s="31" t="inlineStr">
        <is>
          <t>organize.js, store.js, view/history.js</t>
        </is>
      </c>
      <c r="E46" s="39">
        <f>COUNTIF('기능 명세'!$A:$A,A46)</f>
        <v/>
      </c>
      <c r="F46" s="39">
        <f>COUNTIF('API_내부 함수'!$A:$A,A46)</f>
        <v/>
      </c>
      <c r="G46" s="39">
        <f>COUNTIF(API_크롬!$A:$A,A46)</f>
        <v/>
      </c>
      <c r="H46" s="39" t="n"/>
    </row>
    <row r="47" ht="15" customHeight="1" s="25">
      <c r="A47" s="39" t="inlineStr">
        <is>
          <t>새 북마크 정리</t>
        </is>
      </c>
      <c r="B47" s="28" t="inlineStr">
        <is>
          <t>새로 저장된 북마크를 기록하고 추천 폴더로 정리</t>
        </is>
      </c>
      <c r="C47" s="43" t="inlineStr">
        <is>
          <t>팀원 B</t>
        </is>
      </c>
      <c r="D47" s="31" t="inlineStr">
        <is>
          <t>background.js, classify.js, plan.js, store.js</t>
        </is>
      </c>
      <c r="E47" s="39">
        <f>COUNTIF('기능 명세'!$A:$A,A47)</f>
        <v/>
      </c>
      <c r="F47" s="39">
        <f>COUNTIF('API_내부 함수'!$A:$A,A47)</f>
        <v/>
      </c>
      <c r="G47" s="39">
        <f>COUNTIF(API_크롬!$A:$A,A47)</f>
        <v/>
      </c>
      <c r="H47" s="39" t="n"/>
    </row>
    <row r="48" ht="29.25" customHeight="1" s="25">
      <c r="A48" s="39" t="inlineStr">
        <is>
          <t>재발견</t>
        </is>
      </c>
      <c r="B48" s="28" t="inlineStr">
        <is>
          <t>오래 안 연 북마크를 골라 '잊고 있던 북마크'로 보여 주기</t>
        </is>
      </c>
      <c r="C48" s="43" t="inlineStr">
        <is>
          <t>팀원 B</t>
        </is>
      </c>
      <c r="D48" s="31" t="inlineStr">
        <is>
          <t>forgotten.js, store.js, view/forgottenFolder.js</t>
        </is>
      </c>
      <c r="E48" s="39">
        <f>COUNTIF('기능 명세'!$A:$A,A48)</f>
        <v/>
      </c>
      <c r="F48" s="39">
        <f>COUNTIF('API_내부 함수'!$A:$A,A48)</f>
        <v/>
      </c>
      <c r="G48" s="39">
        <f>COUNTIF(API_크롬!$A:$A,A48)</f>
        <v/>
      </c>
      <c r="H48" s="39" t="n"/>
    </row>
    <row r="49" ht="15" customHeight="1" s="25">
      <c r="A49" s="39" t="inlineStr">
        <is>
          <t>고정(독)</t>
        </is>
      </c>
      <c r="B49" s="28" t="inlineStr">
        <is>
          <t>자주 쓰는 북마크를 화면 아래의 고정됨에 고정</t>
        </is>
      </c>
      <c r="C49" s="40" t="inlineStr">
        <is>
          <t>팀원 A</t>
        </is>
      </c>
      <c r="D49" s="31" t="inlineStr">
        <is>
          <t>store.js</t>
        </is>
      </c>
      <c r="E49" s="39">
        <f>COUNTIF('기능 명세'!$A:$A,A49)</f>
        <v/>
      </c>
      <c r="F49" s="39">
        <f>COUNTIF('API_내부 함수'!$A:$A,A49)</f>
        <v/>
      </c>
      <c r="G49" s="39">
        <f>COUNTIF(API_크롬!$A:$A,A49)</f>
        <v/>
      </c>
      <c r="H49" s="39" t="n"/>
    </row>
    <row r="50" ht="15" customHeight="1" s="25">
      <c r="A50" s="39" t="inlineStr">
        <is>
          <t>고정 제안</t>
        </is>
      </c>
      <c r="B50" s="28" t="inlineStr">
        <is>
          <t>폴더를 못 만들 때 고정할 북마크 5개 고르기</t>
        </is>
      </c>
      <c r="C50" s="42" t="inlineStr">
        <is>
          <t>팀원 C</t>
        </is>
      </c>
      <c r="D50" s="31" t="inlineStr">
        <is>
          <t>plan.js, view/cards.js</t>
        </is>
      </c>
      <c r="E50" s="39">
        <f>COUNTIF('기능 명세'!$A:$A,A50)</f>
        <v/>
      </c>
      <c r="F50" s="39">
        <f>COUNTIF('API_내부 함수'!$A:$A,A50)</f>
        <v/>
      </c>
      <c r="G50" s="39">
        <f>COUNTIF(API_크롬!$A:$A,A50)</f>
        <v/>
      </c>
      <c r="H50" s="39" t="n"/>
    </row>
    <row r="51" ht="15" customHeight="1" s="25">
      <c r="A51" s="39" t="inlineStr">
        <is>
          <t>웹 검색</t>
        </is>
      </c>
      <c r="B51" s="28" t="inlineStr">
        <is>
          <t>새 탭의 검색창에서 기본 검색엔진으로 검색</t>
        </is>
      </c>
      <c r="C51" s="41" t="inlineStr">
        <is>
          <t>팀원 D</t>
        </is>
      </c>
      <c r="D51" s="31" t="inlineStr">
        <is>
          <t>search.js</t>
        </is>
      </c>
      <c r="E51" s="39">
        <f>COUNTIF('기능 명세'!$A:$A,A51)</f>
        <v/>
      </c>
      <c r="F51" s="39">
        <f>COUNTIF('API_내부 함수'!$A:$A,A51)</f>
        <v/>
      </c>
      <c r="G51" s="39">
        <f>COUNTIF(API_크롬!$A:$A,A51)</f>
        <v/>
      </c>
      <c r="H51" s="39" t="n"/>
    </row>
    <row r="52" ht="15" customHeight="1" s="25">
      <c r="A52" s="39" t="inlineStr">
        <is>
          <t>북마크 검색</t>
        </is>
      </c>
      <c r="B52" s="28" t="inlineStr">
        <is>
          <t>제목·주소로 북마크 찾기</t>
        </is>
      </c>
      <c r="C52" s="41" t="inlineStr">
        <is>
          <t>팀원 D</t>
        </is>
      </c>
      <c r="D52" s="31" t="inlineStr">
        <is>
          <t>search.js</t>
        </is>
      </c>
      <c r="E52" s="39">
        <f>COUNTIF('기능 명세'!$A:$A,A52)</f>
        <v/>
      </c>
      <c r="F52" s="39">
        <f>COUNTIF('API_내부 함수'!$A:$A,A52)</f>
        <v/>
      </c>
      <c r="G52" s="39">
        <f>COUNTIF(API_크롬!$A:$A,A52)</f>
        <v/>
      </c>
      <c r="H52" s="39" t="n"/>
    </row>
    <row r="53" ht="15" customHeight="1" s="25">
      <c r="A53" s="39" t="inlineStr">
        <is>
          <t>화면 배치</t>
        </is>
      </c>
      <c r="B53" s="28" t="inlineStr">
        <is>
          <t>첫 화면의 구역 순서, 팝업, 창 너비 대응</t>
        </is>
      </c>
      <c r="C53" s="41" t="inlineStr">
        <is>
          <t>팀원 D</t>
        </is>
      </c>
      <c r="D53" s="31" t="inlineStr">
        <is>
          <t>render.js, ui.js, newtab.html, newtab.css</t>
        </is>
      </c>
      <c r="E53" s="39">
        <f>COUNTIF('기능 명세'!$A:$A,A53)</f>
        <v/>
      </c>
      <c r="F53" s="39">
        <f>COUNTIF('API_내부 함수'!$A:$A,A53)</f>
        <v/>
      </c>
      <c r="G53" s="39">
        <f>COUNTIF(API_크롬!$A:$A,A53)</f>
        <v/>
      </c>
      <c r="H53" s="39" t="n"/>
    </row>
    <row r="54" ht="15" customHeight="1" s="25">
      <c r="A54" s="39" t="inlineStr">
        <is>
          <t>우클릭 이동</t>
        </is>
      </c>
      <c r="B54" s="28" t="inlineStr">
        <is>
          <t>우클릭 메뉴와 폴더로 이동</t>
        </is>
      </c>
      <c r="C54" s="42" t="inlineStr">
        <is>
          <t>팀원 C</t>
        </is>
      </c>
      <c r="D54" s="31" t="inlineStr">
        <is>
          <t>view/folders.js</t>
        </is>
      </c>
      <c r="E54" s="39">
        <f>COUNTIF('기능 명세'!$A:$A,A54)</f>
        <v/>
      </c>
      <c r="F54" s="39">
        <f>COUNTIF('API_내부 함수'!$A:$A,A54)</f>
        <v/>
      </c>
      <c r="G54" s="39">
        <f>COUNTIF(API_크롬!$A:$A,A54)</f>
        <v/>
      </c>
      <c r="H54" s="39" t="n"/>
    </row>
    <row r="55" ht="15" customHeight="1" s="25">
      <c r="A55" s="39" t="inlineStr">
        <is>
          <t>세부 폴더</t>
        </is>
      </c>
      <c r="B55" s="28" t="inlineStr">
        <is>
          <t>큰 폴더 안에서 주제 단어로 세부 폴더 제안</t>
        </is>
      </c>
      <c r="C55" s="42" t="inlineStr">
        <is>
          <t>팀원 C</t>
        </is>
      </c>
      <c r="D55" s="31" t="inlineStr">
        <is>
          <t>topic.js</t>
        </is>
      </c>
      <c r="E55" s="39">
        <f>COUNTIF('기능 명세'!$A:$A,A55)</f>
        <v/>
      </c>
      <c r="F55" s="39">
        <f>COUNTIF('API_내부 함수'!$A:$A,A55)</f>
        <v/>
      </c>
      <c r="G55" s="39">
        <f>COUNTIF(API_크롬!$A:$A,A55)</f>
        <v/>
      </c>
      <c r="H55" s="39" t="n"/>
    </row>
    <row r="56" ht="15" customHeight="1" s="25">
      <c r="A56" s="39" t="inlineStr">
        <is>
          <t>드래그 이동</t>
        </is>
      </c>
      <c r="B56" s="28" t="inlineStr">
        <is>
          <t>끌어서 폴더에 넣기·순서 바꾸기</t>
        </is>
      </c>
      <c r="C56" s="41" t="inlineStr">
        <is>
          <t>팀원 D</t>
        </is>
      </c>
      <c r="D56" s="31" t="inlineStr">
        <is>
          <t>dnd.js</t>
        </is>
      </c>
      <c r="E56" s="39">
        <f>COUNTIF('기능 명세'!$A:$A,A56)</f>
        <v/>
      </c>
      <c r="F56" s="39">
        <f>COUNTIF('API_내부 함수'!$A:$A,A56)</f>
        <v/>
      </c>
      <c r="G56" s="39">
        <f>COUNTIF(API_크롬!$A:$A,A56)</f>
        <v/>
      </c>
      <c r="H56" s="39" t="n"/>
    </row>
    <row r="57" ht="15" customHeight="1" s="25">
      <c r="A57" s="35" t="inlineStr">
        <is>
          <t>합계</t>
        </is>
      </c>
      <c r="B57" s="36" t="n"/>
      <c r="C57" s="36" t="n"/>
      <c r="D57" s="36" t="n"/>
      <c r="E57" s="37">
        <f>SUM(E36:E56)</f>
        <v/>
      </c>
      <c r="F57" s="37">
        <f>SUM(F36:F56)</f>
        <v/>
      </c>
      <c r="G57" s="37">
        <f>SUM(G36:G56)</f>
        <v/>
      </c>
    </row>
    <row r="59" ht="16.5" customHeight="1" s="25">
      <c r="A59" s="38" t="inlineStr">
        <is>
          <t>담당(안)별 요약</t>
        </is>
      </c>
    </row>
    <row r="60" ht="15" customHeight="1" s="25">
      <c r="A60" s="33" t="inlineStr">
        <is>
          <t>담당(안)</t>
        </is>
      </c>
      <c r="B60" s="33" t="inlineStr">
        <is>
          <t>맡는 도메인</t>
        </is>
      </c>
      <c r="C60" s="30" t="n"/>
      <c r="D60" s="33" t="inlineStr">
        <is>
          <t>맡는 파일</t>
        </is>
      </c>
      <c r="E60" s="33" t="inlineStr">
        <is>
          <t>요구사항 수</t>
        </is>
      </c>
      <c r="F60" s="33" t="inlineStr">
        <is>
          <t>내부 함수 수</t>
        </is>
      </c>
      <c r="G60" s="33" t="inlineStr">
        <is>
          <t>크롬 API 수</t>
        </is>
      </c>
    </row>
    <row r="61" ht="48" customHeight="1" s="25">
      <c r="A61" s="40" t="inlineStr">
        <is>
          <t>팀원 A</t>
        </is>
      </c>
      <c r="B61" s="28" t="inlineStr">
        <is>
          <t>확장 프로그램 설정, 북마크 동기화, 저장 항목, 정리 적용, 되돌리기·정리 기록, 고정(독)</t>
        </is>
      </c>
      <c r="C61" s="30" t="n"/>
      <c r="D61" s="31" t="inlineStr">
        <is>
          <t>manifest.json, bookmarks.js, store.js, organize.js, view/history.js</t>
        </is>
      </c>
      <c r="E61" s="39">
        <f>COUNTIF('기능 명세'!$B:$B,A61)</f>
        <v/>
      </c>
      <c r="F61" s="39">
        <f>COUNTIF('API_내부 함수'!$B:$B,A61)</f>
        <v/>
      </c>
      <c r="G61" s="39">
        <f>COUNTIF(API_크롬!$B:$B,A61)</f>
        <v/>
      </c>
    </row>
    <row r="62" ht="48" customHeight="1" s="25">
      <c r="A62" s="43" t="inlineStr">
        <is>
          <t>팀원 B</t>
        </is>
      </c>
      <c r="B62" s="28" t="inlineStr">
        <is>
          <t>분류 규칙, 직접 옮김 감지, 새 북마크 정리, 재발견</t>
        </is>
      </c>
      <c r="C62" s="30" t="n"/>
      <c r="D62" s="31" t="inlineStr">
        <is>
          <t>background.js, classify.js, forgotten.js, view/forgottenFolder.js, data/categories.json</t>
        </is>
      </c>
      <c r="E62" s="39">
        <f>COUNTIF('기능 명세'!$B:$B,A62)</f>
        <v/>
      </c>
      <c r="F62" s="39">
        <f>COUNTIF('API_내부 함수'!$B:$B,A62)</f>
        <v/>
      </c>
      <c r="G62" s="39">
        <f>COUNTIF(API_크롬!$B:$B,A62)</f>
        <v/>
      </c>
    </row>
    <row r="63" ht="48" customHeight="1" s="25">
      <c r="A63" s="42" t="inlineStr">
        <is>
          <t>팀원 C</t>
        </is>
      </c>
      <c r="B63" s="28" t="inlineStr">
        <is>
          <t>앱 폴더, 폴더 계획, 고정 제안, 우클릭 이동, 세부 폴더</t>
        </is>
      </c>
      <c r="C63" s="30" t="n"/>
      <c r="D63" s="31" t="inlineStr">
        <is>
          <t>plan.js, topic.js, view/folders.js</t>
        </is>
      </c>
      <c r="E63" s="39">
        <f>COUNTIF('기능 명세'!$B:$B,A63)</f>
        <v/>
      </c>
      <c r="F63" s="39">
        <f>COUNTIF('API_내부 함수'!$B:$B,A63)</f>
        <v/>
      </c>
      <c r="G63" s="39">
        <f>COUNTIF(API_크롬!$B:$B,A63)</f>
        <v/>
      </c>
    </row>
    <row r="64" ht="48" customHeight="1" s="25">
      <c r="A64" s="41" t="inlineStr">
        <is>
          <t>팀원 D</t>
        </is>
      </c>
      <c r="B64" s="28" t="inlineStr">
        <is>
          <t>앱 표시·열기, 정리 카드, 웹 검색, 북마크 검색, 화면 배치, 드래그 이동</t>
        </is>
      </c>
      <c r="C64" s="30" t="n"/>
      <c r="D64" s="31" t="inlineStr">
        <is>
          <t>newtab.html, newtab.css, render.js, ui.js, view/cards.js, search.js, dnd.js</t>
        </is>
      </c>
      <c r="E64" s="39">
        <f>COUNTIF('기능 명세'!$B:$B,A64)</f>
        <v/>
      </c>
      <c r="F64" s="39">
        <f>COUNTIF('API_내부 함수'!$B:$B,A64)</f>
        <v/>
      </c>
      <c r="G64" s="39">
        <f>COUNTIF(API_크롬!$B:$B,A64)</f>
        <v/>
      </c>
    </row>
    <row r="65" ht="63.75" customHeight="1" s="25">
      <c r="A65" s="44" t="inlineStr">
        <is>
          <t>도메인 열 쓰는 법</t>
        </is>
      </c>
      <c r="B65" s="45" t="inlineStr">
        <is>
          <t>각 시트의 첫 열 '도메인'은 그 줄이 어떤 일에 속하는지(정리 적용, 되돌리기 등)를 나타낸다. 둘째 열 '담당(안)'은 그 줄을 누가 맡는지에 대한 제안이며 실제 이름으로 바꿔 쓴다. 기능 명세의 담당은 도메인으로, API 시트의 담당은 파일로 정했다(한 파일은 한 사람). 그래서 같은 도메인이라도 함수가 다른 사람의 파일에 있으면 담당이 다를 수 있고, 그 경우 기능 명세의 '협업 담당'에 적혀 있다.</t>
        </is>
      </c>
    </row>
  </sheetData>
  <mergeCells count="16">
    <mergeCell ref="B3:G3"/>
    <mergeCell ref="B62:C62"/>
    <mergeCell ref="B10:G10"/>
    <mergeCell ref="B64:C64"/>
    <mergeCell ref="B5:G5"/>
    <mergeCell ref="B9:G9"/>
    <mergeCell ref="B8:G8"/>
    <mergeCell ref="B61:C61"/>
    <mergeCell ref="B4:G4"/>
    <mergeCell ref="B60:C60"/>
    <mergeCell ref="B65:G65"/>
    <mergeCell ref="B12:G12"/>
    <mergeCell ref="B63:C63"/>
    <mergeCell ref="B7:G7"/>
    <mergeCell ref="B11:G11"/>
    <mergeCell ref="B6:G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1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4" min="1" max="1"/>
    <col width="9" customWidth="1" style="24" min="2" max="2"/>
    <col width="13" customWidth="1" style="24" min="3" max="3"/>
    <col width="8" customWidth="1" style="24" min="4" max="4"/>
    <col width="20" customWidth="1" style="24" min="5" max="5"/>
    <col width="9" customWidth="1" style="24" min="6" max="6"/>
    <col width="11" customWidth="1" style="24" min="7" max="7"/>
    <col width="7" customWidth="1" style="24" min="8" max="8"/>
    <col width="13" customWidth="1" style="24" min="9" max="9"/>
    <col width="78" customWidth="1" style="24" min="10" max="10"/>
    <col width="11" customWidth="1" style="24" min="11" max="12"/>
    <col width="13" customWidth="1" style="24" min="13" max="13"/>
    <col width="42" customWidth="1" style="24" min="14" max="14"/>
  </cols>
  <sheetData>
    <row r="1" ht="29.25" customHeight="1" s="25">
      <c r="A1" s="33" t="inlineStr">
        <is>
          <t>도메인</t>
        </is>
      </c>
      <c r="B1" s="33" t="inlineStr">
        <is>
          <t>담당(안)</t>
        </is>
      </c>
      <c r="C1" s="33" t="inlineStr">
        <is>
          <t>협업 담당</t>
        </is>
      </c>
      <c r="D1" s="33" t="inlineStr">
        <is>
          <t>기능 ID</t>
        </is>
      </c>
      <c r="E1" s="33" t="inlineStr">
        <is>
          <t>기능명</t>
        </is>
      </c>
      <c r="F1" s="33" t="inlineStr">
        <is>
          <t>우선순위</t>
        </is>
      </c>
      <c r="G1" s="33" t="inlineStr">
        <is>
          <t>요구사항 ID</t>
        </is>
      </c>
      <c r="H1" s="33" t="inlineStr">
        <is>
          <t>유형</t>
        </is>
      </c>
      <c r="I1" s="46" t="inlineStr">
        <is>
          <t>EARS 패턴</t>
        </is>
      </c>
      <c r="J1" s="33" t="inlineStr">
        <is>
          <t>요구사항 (EARS)</t>
        </is>
      </c>
      <c r="K1" s="33" t="inlineStr">
        <is>
          <t>화면</t>
        </is>
      </c>
      <c r="L1" s="33" t="inlineStr">
        <is>
          <t>관련 이슈</t>
        </is>
      </c>
      <c r="M1" s="33" t="inlineStr">
        <is>
          <t>근거 (계획 문서 절)</t>
        </is>
      </c>
      <c r="N1" s="33" t="inlineStr">
        <is>
          <t>비고</t>
        </is>
      </c>
    </row>
    <row r="2" ht="29.25" customHeight="1" s="25">
      <c r="A2" s="39" t="inlineStr">
        <is>
          <t>북마크 동기화</t>
        </is>
      </c>
      <c r="B2" s="40" t="inlineStr">
        <is>
          <t>팀원 A</t>
        </is>
      </c>
      <c r="C2" s="39" t="inlineStr">
        <is>
          <t>팀원 D</t>
        </is>
      </c>
      <c r="D2" s="34" t="inlineStr">
        <is>
          <t>F01</t>
        </is>
      </c>
      <c r="E2" s="28" t="inlineStr">
        <is>
          <t>크롬 북마크 자동 동기화</t>
        </is>
      </c>
      <c r="F2" s="34" t="inlineStr">
        <is>
          <t>P1</t>
        </is>
      </c>
      <c r="G2" s="34" t="inlineStr">
        <is>
          <t>F01-01</t>
        </is>
      </c>
      <c r="H2" s="39" t="inlineStr">
        <is>
          <t>정상</t>
        </is>
      </c>
      <c r="I2" s="34" t="inlineStr">
        <is>
          <t>Event-driven</t>
        </is>
      </c>
      <c r="J2" s="31" t="inlineStr">
        <is>
          <t>WHEN 사용자가 새 탭을 열면 THE 시스템은 SHALL 크롬 북마크 전체를 읽어 화면에 표시하고, 표시한 북마크 개수는 크롬 북마크 관리자의 개수와 같다.</t>
        </is>
      </c>
      <c r="K2" s="39" t="inlineStr">
        <is>
          <t>새 탭 메인</t>
        </is>
      </c>
      <c r="L2" s="34" t="inlineStr">
        <is>
          <t>#22</t>
        </is>
      </c>
      <c r="M2" s="34" t="inlineStr">
        <is>
          <t>2-1, 3-1</t>
        </is>
      </c>
      <c r="N2" s="28" t="n"/>
    </row>
    <row r="3" ht="29.25" customHeight="1" s="25">
      <c r="A3" s="39" t="inlineStr">
        <is>
          <t>북마크 동기화</t>
        </is>
      </c>
      <c r="B3" s="40" t="inlineStr">
        <is>
          <t>팀원 A</t>
        </is>
      </c>
      <c r="C3" s="39" t="inlineStr">
        <is>
          <t>팀원 D</t>
        </is>
      </c>
      <c r="D3" s="34" t="inlineStr">
        <is>
          <t>F01</t>
        </is>
      </c>
      <c r="E3" s="28" t="inlineStr">
        <is>
          <t>크롬 북마크 자동 동기화</t>
        </is>
      </c>
      <c r="F3" s="34" t="inlineStr">
        <is>
          <t>P1</t>
        </is>
      </c>
      <c r="G3" s="34" t="inlineStr">
        <is>
          <t>F01-02</t>
        </is>
      </c>
      <c r="H3" s="39" t="inlineStr">
        <is>
          <t>정상</t>
        </is>
      </c>
      <c r="I3" s="34" t="inlineStr">
        <is>
          <t>Event-driven</t>
        </is>
      </c>
      <c r="J3" s="31" t="inlineStr">
        <is>
          <t>WHEN 크롬에서 북마크가 추가·수정·삭제·이동되면 THE 새 탭 화면은 SHALL 사용자가 새로고침하지 않아도 그 변경을 화면에 반영한다.</t>
        </is>
      </c>
      <c r="K3" s="39" t="inlineStr">
        <is>
          <t>새 탭 메인</t>
        </is>
      </c>
      <c r="L3" s="34" t="inlineStr">
        <is>
          <t>#22</t>
        </is>
      </c>
      <c r="M3" s="34" t="inlineStr">
        <is>
          <t>2-1, 3-1</t>
        </is>
      </c>
      <c r="N3" s="28" t="n"/>
    </row>
    <row r="4" ht="29.25" customHeight="1" s="25">
      <c r="A4" s="39" t="inlineStr">
        <is>
          <t>북마크 동기화</t>
        </is>
      </c>
      <c r="B4" s="40" t="inlineStr">
        <is>
          <t>팀원 A</t>
        </is>
      </c>
      <c r="C4" s="39" t="n"/>
      <c r="D4" s="34" t="inlineStr">
        <is>
          <t>F01</t>
        </is>
      </c>
      <c r="E4" s="28" t="inlineStr">
        <is>
          <t>크롬 북마크 자동 동기화</t>
        </is>
      </c>
      <c r="F4" s="34" t="inlineStr">
        <is>
          <t>P1</t>
        </is>
      </c>
      <c r="G4" s="34" t="inlineStr">
        <is>
          <t>F01-03</t>
        </is>
      </c>
      <c r="H4" s="39" t="inlineStr">
        <is>
          <t>정상</t>
        </is>
      </c>
      <c r="I4" s="34" t="inlineStr">
        <is>
          <t>Ubiquitous</t>
        </is>
      </c>
      <c r="J4" s="31" t="inlineStr">
        <is>
          <t>THE 시스템은 SHALL 북마크의 제목과 주소를 확장 프로그램 밖(서버, 외부 API)으로 전송하지 않는다.</t>
        </is>
      </c>
      <c r="K4" s="39" t="inlineStr">
        <is>
          <t>화면 없음</t>
        </is>
      </c>
      <c r="L4" s="34" t="inlineStr">
        <is>
          <t>#22</t>
        </is>
      </c>
      <c r="M4" s="34" t="inlineStr">
        <is>
          <t>2-1, 3-1</t>
        </is>
      </c>
      <c r="N4" s="28" t="n"/>
    </row>
    <row r="5" ht="29.25" customHeight="1" s="25">
      <c r="A5" s="39" t="inlineStr">
        <is>
          <t>북마크 동기화</t>
        </is>
      </c>
      <c r="B5" s="40" t="inlineStr">
        <is>
          <t>팀원 A</t>
        </is>
      </c>
      <c r="C5" s="39" t="n"/>
      <c r="D5" s="34" t="inlineStr">
        <is>
          <t>F01</t>
        </is>
      </c>
      <c r="E5" s="28" t="inlineStr">
        <is>
          <t>크롬 북마크 자동 동기화</t>
        </is>
      </c>
      <c r="F5" s="34" t="inlineStr">
        <is>
          <t>P1</t>
        </is>
      </c>
      <c r="G5" s="34" t="inlineStr">
        <is>
          <t>F01-04</t>
        </is>
      </c>
      <c r="H5" s="39" t="inlineStr">
        <is>
          <t>정상</t>
        </is>
      </c>
      <c r="I5" s="34" t="inlineStr">
        <is>
          <t>Ubiquitous</t>
        </is>
      </c>
      <c r="J5" s="31" t="inlineStr">
        <is>
          <t>THE 시스템은 SHALL 북마크바·기타 북마크·모바일 북마크를 폴더 ID가 아닌 folderType 값으로 구별한다.</t>
        </is>
      </c>
      <c r="K5" s="39" t="inlineStr">
        <is>
          <t>화면 없음</t>
        </is>
      </c>
      <c r="L5" s="34" t="inlineStr">
        <is>
          <t>#22</t>
        </is>
      </c>
      <c r="M5" s="34" t="inlineStr">
        <is>
          <t>2-1, 3-1</t>
        </is>
      </c>
      <c r="N5" s="28" t="n"/>
    </row>
    <row r="6" ht="29.25" customHeight="1" s="25">
      <c r="A6" s="39" t="inlineStr">
        <is>
          <t>북마크 동기화</t>
        </is>
      </c>
      <c r="B6" s="40" t="inlineStr">
        <is>
          <t>팀원 A</t>
        </is>
      </c>
      <c r="C6" s="39" t="inlineStr">
        <is>
          <t>팀원 D</t>
        </is>
      </c>
      <c r="D6" s="34" t="inlineStr">
        <is>
          <t>F01</t>
        </is>
      </c>
      <c r="E6" s="28" t="inlineStr">
        <is>
          <t>크롬 북마크 자동 동기화</t>
        </is>
      </c>
      <c r="F6" s="34" t="inlineStr">
        <is>
          <t>P1</t>
        </is>
      </c>
      <c r="G6" s="34" t="inlineStr">
        <is>
          <t>F01-05</t>
        </is>
      </c>
      <c r="H6" s="47" t="inlineStr">
        <is>
          <t>예외</t>
        </is>
      </c>
      <c r="I6" s="34" t="inlineStr">
        <is>
          <t>Unwanted</t>
        </is>
      </c>
      <c r="J6" s="31" t="inlineStr">
        <is>
          <t>IF 크롬에 북마크가 하나도 없으면 THEN THE 새 탭 화면은 SHALL "아직 북마크가 없어요. 주소창의 별 버튼으로 저장해 보세요"를 표시한다.</t>
        </is>
      </c>
      <c r="K6" s="39" t="inlineStr">
        <is>
          <t>새 탭 메인</t>
        </is>
      </c>
      <c r="L6" s="34" t="inlineStr">
        <is>
          <t>#22</t>
        </is>
      </c>
      <c r="M6" s="34" t="inlineStr">
        <is>
          <t>2-1, 3-1</t>
        </is>
      </c>
      <c r="N6" s="48" t="inlineStr">
        <is>
          <t>제안: 문구는 계획 문서에 없음</t>
        </is>
      </c>
    </row>
    <row r="7" ht="43.5" customHeight="1" s="25">
      <c r="A7" s="39" t="inlineStr">
        <is>
          <t>저장 항목</t>
        </is>
      </c>
      <c r="B7" s="40" t="inlineStr">
        <is>
          <t>팀원 A</t>
        </is>
      </c>
      <c r="C7" s="39" t="inlineStr">
        <is>
          <t>팀원 B</t>
        </is>
      </c>
      <c r="D7" s="34" t="inlineStr">
        <is>
          <t>F01</t>
        </is>
      </c>
      <c r="E7" s="28" t="inlineStr">
        <is>
          <t>크롬 북마크 자동 동기화</t>
        </is>
      </c>
      <c r="F7" s="34" t="inlineStr">
        <is>
          <t>P1</t>
        </is>
      </c>
      <c r="G7" s="34" t="inlineStr">
        <is>
          <t>F01-06</t>
        </is>
      </c>
      <c r="H7" s="47" t="inlineStr">
        <is>
          <t>예외</t>
        </is>
      </c>
      <c r="I7" s="34" t="inlineStr">
        <is>
          <t>Unwanted</t>
        </is>
      </c>
      <c r="J7" s="31" t="inlineStr">
        <is>
          <t>IF 북마크가 크롬에서 삭제되면 THEN THE 시스템은 SHALL 저장 항목에서 그 북마크 ID를 지운다. 서비스 워커는 manualMoves·newBookmarks에서 바로 지우고, 새 탭은 열릴 때 pinned·lastOpenedByUs·dismissed·handledNew에서 지운다.</t>
        </is>
      </c>
      <c r="K7" s="39" t="inlineStr">
        <is>
          <t>화면 없음</t>
        </is>
      </c>
      <c r="L7" s="34" t="inlineStr">
        <is>
          <t>#22</t>
        </is>
      </c>
      <c r="M7" s="34" t="inlineStr">
        <is>
          <t>2-1, 3-1</t>
        </is>
      </c>
      <c r="N7" s="48" t="inlineStr">
        <is>
          <t>제안: 한 저장 항목은 한쪽만 쓴다는 규칙에 맞춘 정리 방식</t>
        </is>
      </c>
    </row>
    <row r="8" ht="43.5" customHeight="1" s="25">
      <c r="A8" s="39" t="inlineStr">
        <is>
          <t>북마크 동기화</t>
        </is>
      </c>
      <c r="B8" s="40" t="inlineStr">
        <is>
          <t>팀원 A</t>
        </is>
      </c>
      <c r="C8" s="39" t="inlineStr">
        <is>
          <t>팀원 B</t>
        </is>
      </c>
      <c r="D8" s="34" t="inlineStr">
        <is>
          <t>F01</t>
        </is>
      </c>
      <c r="E8" s="28" t="inlineStr">
        <is>
          <t>크롬 북마크 자동 동기화</t>
        </is>
      </c>
      <c r="F8" s="34" t="inlineStr">
        <is>
          <t>P1</t>
        </is>
      </c>
      <c r="G8" s="34" t="inlineStr">
        <is>
          <t>F01-07</t>
        </is>
      </c>
      <c r="H8" s="47" t="inlineStr">
        <is>
          <t>예외</t>
        </is>
      </c>
      <c r="I8" s="34" t="inlineStr">
        <is>
          <t>Unwanted</t>
        </is>
      </c>
      <c r="J8" s="31" t="inlineStr">
        <is>
          <t>IF 크롬이 북마크 가져오기(import)를 진행 중이면 THEN THE 서비스 워커는 SHALL 가져오기가 끝날 때까지 새 북마크 기록을 멈추고, 끝난 뒤 한 번만 다시 읽는다.</t>
        </is>
      </c>
      <c r="K8" s="39" t="inlineStr">
        <is>
          <t>화면 없음</t>
        </is>
      </c>
      <c r="L8" s="34" t="inlineStr">
        <is>
          <t>#22</t>
        </is>
      </c>
      <c r="M8" s="34" t="inlineStr">
        <is>
          <t>2-1, 3-1</t>
        </is>
      </c>
      <c r="N8" s="48" t="inlineStr">
        <is>
          <t>제안: 크롬 문서가 권장하는 처리</t>
        </is>
      </c>
    </row>
    <row r="9" ht="29.25" customHeight="1" s="25">
      <c r="A9" s="39" t="inlineStr">
        <is>
          <t>앱 표시·열기</t>
        </is>
      </c>
      <c r="B9" s="41" t="inlineStr">
        <is>
          <t>팀원 D</t>
        </is>
      </c>
      <c r="C9" s="39" t="n"/>
      <c r="D9" s="34" t="inlineStr">
        <is>
          <t>F02</t>
        </is>
      </c>
      <c r="E9" s="28" t="inlineStr">
        <is>
          <t>앱 형태 북마크</t>
        </is>
      </c>
      <c r="F9" s="34" t="inlineStr">
        <is>
          <t>P1</t>
        </is>
      </c>
      <c r="G9" s="34" t="inlineStr">
        <is>
          <t>F02-01</t>
        </is>
      </c>
      <c r="H9" s="39" t="inlineStr">
        <is>
          <t>정상</t>
        </is>
      </c>
      <c r="I9" s="34" t="inlineStr">
        <is>
          <t>Ubiquitous</t>
        </is>
      </c>
      <c r="J9" s="31" t="inlineStr">
        <is>
          <t>THE 새 탭 화면은 SHALL 북마크 하나를 사이트 아이콘(색 타일 위의 파비콘)과 제목이 있는 앱 하나로 표시한다.</t>
        </is>
      </c>
      <c r="K9" s="39" t="inlineStr">
        <is>
          <t>새 탭 메인</t>
        </is>
      </c>
      <c r="L9" s="34" t="inlineStr">
        <is>
          <t>#22</t>
        </is>
      </c>
      <c r="M9" s="34" t="inlineStr">
        <is>
          <t>2-2, 3-2</t>
        </is>
      </c>
      <c r="N9" s="28" t="inlineStr">
        <is>
          <t>추가(v11): 앱 아이콘은 모든 화면에서 ui.js의 appIcon으로 그린다</t>
        </is>
      </c>
    </row>
    <row r="10" ht="57.75" customHeight="1" s="25">
      <c r="A10" s="39" t="inlineStr">
        <is>
          <t>앱 표시·열기</t>
        </is>
      </c>
      <c r="B10" s="41" t="inlineStr">
        <is>
          <t>팀원 D</t>
        </is>
      </c>
      <c r="C10" s="39" t="inlineStr">
        <is>
          <t>팀원 A</t>
        </is>
      </c>
      <c r="D10" s="34" t="inlineStr">
        <is>
          <t>F02</t>
        </is>
      </c>
      <c r="E10" s="28" t="inlineStr">
        <is>
          <t>앱 형태 북마크</t>
        </is>
      </c>
      <c r="F10" s="34" t="inlineStr">
        <is>
          <t>P1</t>
        </is>
      </c>
      <c r="G10" s="34" t="inlineStr">
        <is>
          <t>F02-02</t>
        </is>
      </c>
      <c r="H10" s="39" t="inlineStr">
        <is>
          <t>정상</t>
        </is>
      </c>
      <c r="I10" s="34" t="inlineStr">
        <is>
          <t>Event-driven</t>
        </is>
      </c>
      <c r="J10" s="31" t="inlineStr">
        <is>
          <t>WHEN 사용자가 앱을 클릭하면 THE 시스템은 SHALL 연 시각을 lastOpenedByUs에 기록한 뒤 현재 탭에서 그 북마크의 주소를 연다.</t>
        </is>
      </c>
      <c r="K10" s="39" t="inlineStr">
        <is>
          <t>새 탭 메인</t>
        </is>
      </c>
      <c r="L10" s="34" t="inlineStr">
        <is>
          <t>#22</t>
        </is>
      </c>
      <c r="M10" s="34" t="inlineStr">
        <is>
          <t>2-2, 3-2</t>
        </is>
      </c>
      <c r="N10" s="48" t="inlineStr">
        <is>
          <t>제안: 클릭은 현재 탭, 우클릭 메뉴는 새 탭. 실행 확인(v3): 기록을 기다리지 않고 바로 이동해도 기록은 남았음. 순서를 지키는 것은 안전을 위한 것</t>
        </is>
      </c>
    </row>
    <row r="11" ht="100.5" customHeight="1" s="25">
      <c r="A11" s="39" t="inlineStr">
        <is>
          <t>앱 표시·열기</t>
        </is>
      </c>
      <c r="B11" s="41" t="inlineStr">
        <is>
          <t>팀원 D</t>
        </is>
      </c>
      <c r="C11" s="39" t="n"/>
      <c r="D11" s="34" t="inlineStr">
        <is>
          <t>F02</t>
        </is>
      </c>
      <c r="E11" s="28" t="inlineStr">
        <is>
          <t>앱 형태 북마크</t>
        </is>
      </c>
      <c r="F11" s="34" t="inlineStr">
        <is>
          <t>P1</t>
        </is>
      </c>
      <c r="G11" s="34" t="inlineStr">
        <is>
          <t>F02-03</t>
        </is>
      </c>
      <c r="H11" s="47" t="inlineStr">
        <is>
          <t>예외</t>
        </is>
      </c>
      <c r="I11" s="34" t="inlineStr">
        <is>
          <t>Unwanted</t>
        </is>
      </c>
      <c r="J11" s="31" t="inlineStr">
        <is>
          <t>IF 사이트의 파비콘이 없으면 THEN THE 새 탭 화면은 SHALL 제목의 첫 글자를 아이콘으로 표시한다.</t>
        </is>
      </c>
      <c r="K11" s="39" t="inlineStr">
        <is>
          <t>새 탭 메인</t>
        </is>
      </c>
      <c r="L11" s="34" t="inlineStr">
        <is>
          <t>#22</t>
        </is>
      </c>
      <c r="M11" s="34" t="inlineStr">
        <is>
          <t>2-2, 3-2</t>
        </is>
      </c>
      <c r="N11" s="49" t="inlineStr">
        <is>
          <t>실행 확인(v3): 파비콘이 없는 주소는 모두 똑같은 기본 그림(같은 바이트)이 돌아옴. 방문한 적 없는 주소의 결과를 기준으로 삼아 비교하면 판별됨. 파비콘은 사이트가 아니라 페이지 주소 단위로 저장돼 있으므로, 없으면 사이트 첫 페이지 주소로 한 번 더 찾고 그래도 없으면 첫 글자</t>
        </is>
      </c>
    </row>
    <row r="12" ht="29.25" customHeight="1" s="25">
      <c r="A12" s="39" t="inlineStr">
        <is>
          <t>앱 표시·열기</t>
        </is>
      </c>
      <c r="B12" s="41" t="inlineStr">
        <is>
          <t>팀원 D</t>
        </is>
      </c>
      <c r="C12" s="39" t="n"/>
      <c r="D12" s="34" t="inlineStr">
        <is>
          <t>F02</t>
        </is>
      </c>
      <c r="E12" s="28" t="inlineStr">
        <is>
          <t>앱 형태 북마크</t>
        </is>
      </c>
      <c r="F12" s="34" t="inlineStr">
        <is>
          <t>P1</t>
        </is>
      </c>
      <c r="G12" s="34" t="inlineStr">
        <is>
          <t>F02-04</t>
        </is>
      </c>
      <c r="H12" s="47" t="inlineStr">
        <is>
          <t>예외</t>
        </is>
      </c>
      <c r="I12" s="34" t="inlineStr">
        <is>
          <t>Unwanted</t>
        </is>
      </c>
      <c r="J12" s="31" t="inlineStr">
        <is>
          <t>IF 북마크 주소가 chrome:// 또는 file://로 시작하면 THEN THE 시스템은 SHALL 일반 링크 대신 chrome.tabs API로 그 주소를 연다.</t>
        </is>
      </c>
      <c r="K12" s="39" t="inlineStr">
        <is>
          <t>새 탭 메인</t>
        </is>
      </c>
      <c r="L12" s="34" t="inlineStr">
        <is>
          <t>#22</t>
        </is>
      </c>
      <c r="M12" s="34" t="inlineStr">
        <is>
          <t>2-2, 3-2</t>
        </is>
      </c>
      <c r="N12" s="28" t="n"/>
    </row>
    <row r="13" ht="29.25" customHeight="1" s="25">
      <c r="A13" s="39" t="inlineStr">
        <is>
          <t>앱 표시·열기</t>
        </is>
      </c>
      <c r="B13" s="41" t="inlineStr">
        <is>
          <t>팀원 D</t>
        </is>
      </c>
      <c r="C13" s="39" t="n"/>
      <c r="D13" s="34" t="inlineStr">
        <is>
          <t>F02</t>
        </is>
      </c>
      <c r="E13" s="28" t="inlineStr">
        <is>
          <t>앱 형태 북마크</t>
        </is>
      </c>
      <c r="F13" s="34" t="inlineStr">
        <is>
          <t>P1</t>
        </is>
      </c>
      <c r="G13" s="34" t="inlineStr">
        <is>
          <t>F02-05</t>
        </is>
      </c>
      <c r="H13" s="47" t="inlineStr">
        <is>
          <t>예외</t>
        </is>
      </c>
      <c r="I13" s="34" t="inlineStr">
        <is>
          <t>Unwanted</t>
        </is>
      </c>
      <c r="J13" s="31" t="inlineStr">
        <is>
          <t>IF 북마크 주소가 javascript:로 시작하면 THEN THE 시스템은 SHALL 실행하지 않고 "이 북마크는 새 탭에서 실행할 수 없어요"를 표시한다.</t>
        </is>
      </c>
      <c r="K13" s="39" t="inlineStr">
        <is>
          <t>새 탭 메인</t>
        </is>
      </c>
      <c r="L13" s="34" t="inlineStr">
        <is>
          <t>#22</t>
        </is>
      </c>
      <c r="M13" s="34" t="inlineStr">
        <is>
          <t>2-2, 3-2</t>
        </is>
      </c>
      <c r="N13" s="48" t="inlineStr">
        <is>
          <t>제안: 북마클릿은 확장 프로그램 페이지에서 실행 불가</t>
        </is>
      </c>
    </row>
    <row r="14" ht="29.25" customHeight="1" s="25">
      <c r="A14" s="39" t="inlineStr">
        <is>
          <t>앱 폴더</t>
        </is>
      </c>
      <c r="B14" s="42" t="inlineStr">
        <is>
          <t>팀원 C</t>
        </is>
      </c>
      <c r="C14" s="39" t="inlineStr">
        <is>
          <t>팀원 D</t>
        </is>
      </c>
      <c r="D14" s="34" t="inlineStr">
        <is>
          <t>F03</t>
        </is>
      </c>
      <c r="E14" s="28" t="inlineStr">
        <is>
          <t>앱 폴더</t>
        </is>
      </c>
      <c r="F14" s="34" t="inlineStr">
        <is>
          <t>P1</t>
        </is>
      </c>
      <c r="G14" s="34" t="inlineStr">
        <is>
          <t>F03-01</t>
        </is>
      </c>
      <c r="H14" s="39" t="inlineStr">
        <is>
          <t>정상</t>
        </is>
      </c>
      <c r="I14" s="34" t="inlineStr">
        <is>
          <t>Ubiquitous</t>
        </is>
      </c>
      <c r="J14" s="31" t="inlineStr">
        <is>
          <t>THE 새 탭 화면은 SHALL 크롬 북마크 폴더(사용자가 원래 만든 폴더 포함)를 안에 든 앱의 미리보기 칸·이름·개수가 있는 앱 폴더로 표시한다.</t>
        </is>
      </c>
      <c r="K14" s="39" t="inlineStr">
        <is>
          <t>새 탭 메인</t>
        </is>
      </c>
      <c r="L14" s="34" t="inlineStr">
        <is>
          <t>#22</t>
        </is>
      </c>
      <c r="M14" s="34" t="inlineStr">
        <is>
          <t>2-2, 3-2</t>
        </is>
      </c>
      <c r="N14" s="28" t="n"/>
    </row>
    <row r="15" ht="29.25" customHeight="1" s="25">
      <c r="A15" s="39" t="inlineStr">
        <is>
          <t>앱 폴더</t>
        </is>
      </c>
      <c r="B15" s="42" t="inlineStr">
        <is>
          <t>팀원 C</t>
        </is>
      </c>
      <c r="C15" s="39" t="inlineStr">
        <is>
          <t>팀원 D</t>
        </is>
      </c>
      <c r="D15" s="34" t="inlineStr">
        <is>
          <t>F03</t>
        </is>
      </c>
      <c r="E15" s="28" t="inlineStr">
        <is>
          <t>앱 폴더</t>
        </is>
      </c>
      <c r="F15" s="34" t="inlineStr">
        <is>
          <t>P1</t>
        </is>
      </c>
      <c r="G15" s="34" t="inlineStr">
        <is>
          <t>F03-02</t>
        </is>
      </c>
      <c r="H15" s="39" t="inlineStr">
        <is>
          <t>정상</t>
        </is>
      </c>
      <c r="I15" s="34" t="inlineStr">
        <is>
          <t>Ubiquitous</t>
        </is>
      </c>
      <c r="J15" s="31" t="inlineStr">
        <is>
          <t>THE 새 탭 화면은 SHALL 북마크바·기타 북마크·모바일 북마크 자체는 앱 폴더로 표시하지 않고, 그 안의 폴더와 북마크를 표시한다.</t>
        </is>
      </c>
      <c r="K15" s="39" t="inlineStr">
        <is>
          <t>새 탭 메인</t>
        </is>
      </c>
      <c r="L15" s="34" t="inlineStr">
        <is>
          <t>#22</t>
        </is>
      </c>
      <c r="M15" s="34" t="inlineStr">
        <is>
          <t>2-2, 3-2</t>
        </is>
      </c>
      <c r="N15" s="48" t="inlineStr">
        <is>
          <t>제안: 루트 폴더 표시 방식</t>
        </is>
      </c>
    </row>
    <row r="16" ht="29.25" customHeight="1" s="25">
      <c r="A16" s="39" t="inlineStr">
        <is>
          <t>앱 폴더</t>
        </is>
      </c>
      <c r="B16" s="42" t="inlineStr">
        <is>
          <t>팀원 C</t>
        </is>
      </c>
      <c r="C16" s="39" t="inlineStr">
        <is>
          <t>팀원 D</t>
        </is>
      </c>
      <c r="D16" s="34" t="inlineStr">
        <is>
          <t>F03</t>
        </is>
      </c>
      <c r="E16" s="28" t="inlineStr">
        <is>
          <t>앱 폴더</t>
        </is>
      </c>
      <c r="F16" s="34" t="inlineStr">
        <is>
          <t>P1</t>
        </is>
      </c>
      <c r="G16" s="34" t="inlineStr">
        <is>
          <t>F03-03</t>
        </is>
      </c>
      <c r="H16" s="39" t="inlineStr">
        <is>
          <t>정상</t>
        </is>
      </c>
      <c r="I16" s="34" t="inlineStr">
        <is>
          <t>Event-driven</t>
        </is>
      </c>
      <c r="J16" s="31" t="inlineStr">
        <is>
          <t>WHEN 사용자가 앱 폴더를 클릭하면 THE 새 탭 화면은 SHALL 메인 화면 위에 팝업을 열어 그 폴더 안의 앱을 표시한다.</t>
        </is>
      </c>
      <c r="K16" s="39" t="inlineStr">
        <is>
          <t>새 탭 메인</t>
        </is>
      </c>
      <c r="L16" s="34" t="inlineStr">
        <is>
          <t>#22</t>
        </is>
      </c>
      <c r="M16" s="34" t="inlineStr">
        <is>
          <t>2-2, 3-2</t>
        </is>
      </c>
      <c r="N16" s="28" t="n"/>
    </row>
    <row r="17" ht="29.25" customHeight="1" s="25">
      <c r="A17" s="39" t="inlineStr">
        <is>
          <t>앱 폴더</t>
        </is>
      </c>
      <c r="B17" s="42" t="inlineStr">
        <is>
          <t>팀원 C</t>
        </is>
      </c>
      <c r="C17" s="39" t="inlineStr">
        <is>
          <t>팀원 D</t>
        </is>
      </c>
      <c r="D17" s="34" t="inlineStr">
        <is>
          <t>F03</t>
        </is>
      </c>
      <c r="E17" s="28" t="inlineStr">
        <is>
          <t>앱 폴더</t>
        </is>
      </c>
      <c r="F17" s="34" t="inlineStr">
        <is>
          <t>P2</t>
        </is>
      </c>
      <c r="G17" s="34" t="inlineStr">
        <is>
          <t>F03-04</t>
        </is>
      </c>
      <c r="H17" s="39" t="inlineStr">
        <is>
          <t>정상</t>
        </is>
      </c>
      <c r="I17" s="34" t="inlineStr">
        <is>
          <t>Event-driven</t>
        </is>
      </c>
      <c r="J17" s="31" t="inlineStr">
        <is>
          <t>WHEN 사용자가 폴더 만들기에서 이름을 입력하고 확인하면 THE 시스템은 SHALL 북마크바 맨 뒤에 그 이름의 크롬 북마크 폴더를 만들고 앱 폴더로 표시한다.</t>
        </is>
      </c>
      <c r="K17" s="39" t="inlineStr">
        <is>
          <t>새 탭 메인</t>
        </is>
      </c>
      <c r="L17" s="34" t="inlineStr">
        <is>
          <t>#23</t>
        </is>
      </c>
      <c r="M17" s="34" t="inlineStr">
        <is>
          <t>2-2, 3-2</t>
        </is>
      </c>
      <c r="N17" s="49" t="inlineStr">
        <is>
          <t>수정(v9): 새 폴더 위치를 정리 적용(F07-01)과 같이 북마크바로 맞춤</t>
        </is>
      </c>
    </row>
    <row r="18" ht="29.25" customHeight="1" s="25">
      <c r="A18" s="39" t="inlineStr">
        <is>
          <t>앱 폴더</t>
        </is>
      </c>
      <c r="B18" s="42" t="inlineStr">
        <is>
          <t>팀원 C</t>
        </is>
      </c>
      <c r="C18" s="39" t="inlineStr">
        <is>
          <t>팀원 D</t>
        </is>
      </c>
      <c r="D18" s="34" t="inlineStr">
        <is>
          <t>F03</t>
        </is>
      </c>
      <c r="E18" s="28" t="inlineStr">
        <is>
          <t>앱 폴더</t>
        </is>
      </c>
      <c r="F18" s="34" t="inlineStr">
        <is>
          <t>P2</t>
        </is>
      </c>
      <c r="G18" s="34" t="inlineStr">
        <is>
          <t>F03-05</t>
        </is>
      </c>
      <c r="H18" s="39" t="inlineStr">
        <is>
          <t>정상</t>
        </is>
      </c>
      <c r="I18" s="34" t="inlineStr">
        <is>
          <t>Event-driven</t>
        </is>
      </c>
      <c r="J18" s="31" t="inlineStr">
        <is>
          <t>WHEN 사용자가 앱 폴더의 이름을 바꾸면 THE 시스템은 SHALL 크롬 북마크 폴더의 이름을 바꾸고, 크롬 북마크 관리자에도 같은 이름이 보인다.</t>
        </is>
      </c>
      <c r="K18" s="39" t="inlineStr">
        <is>
          <t>새 탭 메인</t>
        </is>
      </c>
      <c r="L18" s="34" t="inlineStr">
        <is>
          <t>#23</t>
        </is>
      </c>
      <c r="M18" s="34" t="inlineStr">
        <is>
          <t>2-2, 3-2</t>
        </is>
      </c>
      <c r="N18" s="28" t="n"/>
    </row>
    <row r="19" ht="29.25" customHeight="1" s="25">
      <c r="A19" s="39" t="inlineStr">
        <is>
          <t>앱 폴더</t>
        </is>
      </c>
      <c r="B19" s="42" t="inlineStr">
        <is>
          <t>팀원 C</t>
        </is>
      </c>
      <c r="C19" s="39" t="inlineStr">
        <is>
          <t>팀원 D</t>
        </is>
      </c>
      <c r="D19" s="34" t="inlineStr">
        <is>
          <t>F03</t>
        </is>
      </c>
      <c r="E19" s="28" t="inlineStr">
        <is>
          <t>앱 폴더</t>
        </is>
      </c>
      <c r="F19" s="34" t="inlineStr">
        <is>
          <t>P2</t>
        </is>
      </c>
      <c r="G19" s="34" t="inlineStr">
        <is>
          <t>F03-06</t>
        </is>
      </c>
      <c r="H19" s="39" t="inlineStr">
        <is>
          <t>정상</t>
        </is>
      </c>
      <c r="I19" s="34" t="inlineStr">
        <is>
          <t>Event-driven</t>
        </is>
      </c>
      <c r="J19" s="31" t="inlineStr">
        <is>
          <t>WHEN 사용자가 앱 폴더를 삭제하면 THE 시스템은 SHALL 안의 북마크를 그 폴더의 상위 폴더로 꺼낸 뒤 폴더만 삭제한다.</t>
        </is>
      </c>
      <c r="K19" s="39" t="inlineStr">
        <is>
          <t>새 탭 메인</t>
        </is>
      </c>
      <c r="L19" s="34" t="inlineStr">
        <is>
          <t>#23</t>
        </is>
      </c>
      <c r="M19" s="34" t="inlineStr">
        <is>
          <t>2-2, 3-2</t>
        </is>
      </c>
      <c r="N19" s="48" t="inlineStr">
        <is>
          <t>제안: 꺼내는 위치는 상위 폴더</t>
        </is>
      </c>
    </row>
    <row r="20" ht="29.25" customHeight="1" s="25">
      <c r="A20" s="39" t="inlineStr">
        <is>
          <t>앱 폴더</t>
        </is>
      </c>
      <c r="B20" s="42" t="inlineStr">
        <is>
          <t>팀원 C</t>
        </is>
      </c>
      <c r="C20" s="39" t="inlineStr">
        <is>
          <t>팀원 D</t>
        </is>
      </c>
      <c r="D20" s="34" t="inlineStr">
        <is>
          <t>F03</t>
        </is>
      </c>
      <c r="E20" s="28" t="inlineStr">
        <is>
          <t>앱 폴더</t>
        </is>
      </c>
      <c r="F20" s="34" t="inlineStr">
        <is>
          <t>P2</t>
        </is>
      </c>
      <c r="G20" s="34" t="inlineStr">
        <is>
          <t>F03-07</t>
        </is>
      </c>
      <c r="H20" s="47" t="inlineStr">
        <is>
          <t>예외</t>
        </is>
      </c>
      <c r="I20" s="34" t="inlineStr">
        <is>
          <t>Unwanted</t>
        </is>
      </c>
      <c r="J20" s="31" t="inlineStr">
        <is>
          <t>IF 입력한 폴더 이름이 비어 있거나 공백뿐이면 THEN THE 시스템은 SHALL 폴더를 만들거나 바꾸지 않고 "폴더 이름을 입력해 주세요"를 표시한다.</t>
        </is>
      </c>
      <c r="K20" s="39" t="inlineStr">
        <is>
          <t>새 탭 메인</t>
        </is>
      </c>
      <c r="L20" s="34" t="inlineStr">
        <is>
          <t>#23</t>
        </is>
      </c>
      <c r="M20" s="34" t="inlineStr">
        <is>
          <t>2-2, 3-2</t>
        </is>
      </c>
      <c r="N20" s="48" t="inlineStr">
        <is>
          <t>제안</t>
        </is>
      </c>
    </row>
    <row r="21" ht="29.25" customHeight="1" s="25">
      <c r="A21" s="39" t="inlineStr">
        <is>
          <t>앱 폴더</t>
        </is>
      </c>
      <c r="B21" s="42" t="inlineStr">
        <is>
          <t>팀원 C</t>
        </is>
      </c>
      <c r="C21" s="39" t="inlineStr">
        <is>
          <t>팀원 D</t>
        </is>
      </c>
      <c r="D21" s="34" t="inlineStr">
        <is>
          <t>F03</t>
        </is>
      </c>
      <c r="E21" s="28" t="inlineStr">
        <is>
          <t>앱 폴더</t>
        </is>
      </c>
      <c r="F21" s="34" t="inlineStr">
        <is>
          <t>P2</t>
        </is>
      </c>
      <c r="G21" s="34" t="inlineStr">
        <is>
          <t>F03-08</t>
        </is>
      </c>
      <c r="H21" s="47" t="inlineStr">
        <is>
          <t>예외</t>
        </is>
      </c>
      <c r="I21" s="34" t="inlineStr">
        <is>
          <t>Unwanted</t>
        </is>
      </c>
      <c r="J21" s="31" t="inlineStr">
        <is>
          <t>IF 앱 폴더 안에 하위 폴더가 있으면 THEN THE 팝업은 SHALL 하위 폴더를 앱 폴더로 표시하고, 누르면 같은 팝업 안에서 그 폴더로 들어간다.</t>
        </is>
      </c>
      <c r="K21" s="39" t="inlineStr">
        <is>
          <t>새 탭 메인</t>
        </is>
      </c>
      <c r="L21" s="34" t="inlineStr">
        <is>
          <t>#23</t>
        </is>
      </c>
      <c r="M21" s="34" t="inlineStr">
        <is>
          <t>2-2, 3-2</t>
        </is>
      </c>
      <c r="N21" s="49" t="inlineStr">
        <is>
          <t>확정(v5) · 실행 확인: 팝업 위쪽에 상위 폴더로 돌아가는 버튼을 둠</t>
        </is>
      </c>
    </row>
    <row r="22" ht="29.25" customHeight="1" s="25">
      <c r="A22" s="39" t="inlineStr">
        <is>
          <t>재발견</t>
        </is>
      </c>
      <c r="B22" s="43" t="inlineStr">
        <is>
          <t>팀원 B</t>
        </is>
      </c>
      <c r="C22" s="39" t="n"/>
      <c r="D22" s="34" t="inlineStr">
        <is>
          <t>F04</t>
        </is>
      </c>
      <c r="E22" s="28" t="inlineStr">
        <is>
          <t>잊고 있던 북마크 (재발견)</t>
        </is>
      </c>
      <c r="F22" s="34" t="inlineStr">
        <is>
          <t>P1</t>
        </is>
      </c>
      <c r="G22" s="34" t="inlineStr">
        <is>
          <t>F04-01</t>
        </is>
      </c>
      <c r="H22" s="39" t="inlineStr">
        <is>
          <t>정상</t>
        </is>
      </c>
      <c r="I22" s="34" t="inlineStr">
        <is>
          <t>Ubiquitous</t>
        </is>
      </c>
      <c r="J22" s="31" t="inlineStr">
        <is>
          <t>THE 시스템은 SHALL 마지막으로 연 지 30일 이상 지난 북마크를 위치(북마크바, 기타 북마크, 폴더 안)와 관계없이 "잊고 있던 북마크" 후보로 고른다.</t>
        </is>
      </c>
      <c r="K22" s="39" t="inlineStr">
        <is>
          <t>화면 없음</t>
        </is>
      </c>
      <c r="L22" s="34" t="inlineStr">
        <is>
          <t>#22</t>
        </is>
      </c>
      <c r="M22" s="34" t="inlineStr">
        <is>
          <t>2-3, 3-3</t>
        </is>
      </c>
      <c r="N22" s="28" t="n"/>
    </row>
    <row r="23" ht="43.5" customHeight="1" s="25">
      <c r="A23" s="39" t="inlineStr">
        <is>
          <t>재발견</t>
        </is>
      </c>
      <c r="B23" s="43" t="inlineStr">
        <is>
          <t>팀원 B</t>
        </is>
      </c>
      <c r="C23" s="39" t="n"/>
      <c r="D23" s="34" t="inlineStr">
        <is>
          <t>F04</t>
        </is>
      </c>
      <c r="E23" s="28" t="inlineStr">
        <is>
          <t>잊고 있던 북마크 (재발견)</t>
        </is>
      </c>
      <c r="F23" s="34" t="inlineStr">
        <is>
          <t>P1</t>
        </is>
      </c>
      <c r="G23" s="34" t="inlineStr">
        <is>
          <t>F04-02</t>
        </is>
      </c>
      <c r="H23" s="39" t="inlineStr">
        <is>
          <t>정상</t>
        </is>
      </c>
      <c r="I23" s="34" t="inlineStr">
        <is>
          <t>Ubiquitous</t>
        </is>
      </c>
      <c r="J23" s="31" t="inlineStr">
        <is>
          <t>THE 시스템은 SHALL 저장한 지 7일이 안 된 북마크, 독에 고정된 북마크, "이제 안 봐도 됨"을 누른 북마크, javascript:·chrome:// 주소의 북마크를 후보에서 뺀다.</t>
        </is>
      </c>
      <c r="K23" s="39" t="inlineStr">
        <is>
          <t>화면 없음</t>
        </is>
      </c>
      <c r="L23" s="34" t="inlineStr">
        <is>
          <t>#22</t>
        </is>
      </c>
      <c r="M23" s="34" t="inlineStr">
        <is>
          <t>2-3, 3-3</t>
        </is>
      </c>
      <c r="N23" s="49" t="inlineStr">
        <is>
          <t>참고: '7일이 안 된 북마크'는 30일 조건에 이미 포함돼 따로 구현할 필요 없음</t>
        </is>
      </c>
    </row>
    <row r="24" ht="143.25" customHeight="1" s="25">
      <c r="A24" s="39" t="inlineStr">
        <is>
          <t>재발견</t>
        </is>
      </c>
      <c r="B24" s="43" t="inlineStr">
        <is>
          <t>팀원 B</t>
        </is>
      </c>
      <c r="C24" s="39" t="n"/>
      <c r="D24" s="34" t="inlineStr">
        <is>
          <t>F04</t>
        </is>
      </c>
      <c r="E24" s="28" t="inlineStr">
        <is>
          <t>잊고 있던 북마크 (재발견)</t>
        </is>
      </c>
      <c r="F24" s="34" t="inlineStr">
        <is>
          <t>P1</t>
        </is>
      </c>
      <c r="G24" s="34" t="inlineStr">
        <is>
          <t>F04-03</t>
        </is>
      </c>
      <c r="H24" s="39" t="inlineStr">
        <is>
          <t>정상</t>
        </is>
      </c>
      <c r="I24" s="34" t="inlineStr">
        <is>
          <t>Ubiquitous</t>
        </is>
      </c>
      <c r="J24" s="31" t="inlineStr">
        <is>
          <t>THE 시스템은 SHALL 마지막으로 연 시각을 lastOpenedByUs와 dateLastUsed 중 더 최근 값으로 정하고, 둘 다 없으면 dateAdded를 쓴다.</t>
        </is>
      </c>
      <c r="K24" s="39" t="inlineStr">
        <is>
          <t>화면 없음</t>
        </is>
      </c>
      <c r="L24" s="34" t="inlineStr">
        <is>
          <t>#22</t>
        </is>
      </c>
      <c r="M24" s="34" t="inlineStr">
        <is>
          <t>2-3, 3-3</t>
        </is>
      </c>
      <c r="N24" s="49" t="inlineStr">
        <is>
          <t>확정(v5): 둘 중 더 최근 값을 쓴다. 주소창으로만 여는 북마크가 후보에 나오는 한계는 받아들인다([이제 안 봐도 됨]으로 뺄 수 있음). 실행 확인(v3·v4): dateLastUsed는 북마크바 클릭과 북마크 관리자에서 열 때는 바뀌고, 주소창 입력·링크·우리 새 탭·tabs API로 열 때는 바뀌지 않음. 그래서 lastOpenedByUs 기록이 반드시 필요하고, 주소창으로만 여는 북마크는 '안 연 것'으로 보임(알려진 한계)</t>
        </is>
      </c>
    </row>
    <row r="25" ht="29.25" customHeight="1" s="25">
      <c r="A25" s="39" t="inlineStr">
        <is>
          <t>재발견</t>
        </is>
      </c>
      <c r="B25" s="43" t="inlineStr">
        <is>
          <t>팀원 B</t>
        </is>
      </c>
      <c r="C25" s="39" t="inlineStr">
        <is>
          <t>팀원 D</t>
        </is>
      </c>
      <c r="D25" s="34" t="inlineStr">
        <is>
          <t>F04</t>
        </is>
      </c>
      <c r="E25" s="28" t="inlineStr">
        <is>
          <t>잊고 있던 북마크 (재발견)</t>
        </is>
      </c>
      <c r="F25" s="34" t="inlineStr">
        <is>
          <t>P1</t>
        </is>
      </c>
      <c r="G25" s="34" t="inlineStr">
        <is>
          <t>F04-04</t>
        </is>
      </c>
      <c r="H25" s="39" t="inlineStr">
        <is>
          <t>정상</t>
        </is>
      </c>
      <c r="I25" s="34" t="inlineStr">
        <is>
          <t>State-driven</t>
        </is>
      </c>
      <c r="J25" s="31" t="inlineStr">
        <is>
          <t>WHILE 후보가 1개 이상인 동안 THE 새 탭 화면은 SHALL 앱 폴더 줄 맨 앞에 "잊고 있던 북마크" 폴더를 표시하는 개수(최대 8) 배지와 함께 표시한다.</t>
        </is>
      </c>
      <c r="K25" s="39" t="inlineStr">
        <is>
          <t>새 탭 메인</t>
        </is>
      </c>
      <c r="L25" s="34" t="inlineStr">
        <is>
          <t>#22</t>
        </is>
      </c>
      <c r="M25" s="34" t="inlineStr">
        <is>
          <t>2-3, 3-3</t>
        </is>
      </c>
      <c r="N25" s="49" t="inlineStr">
        <is>
          <t>수정(v9): 확정 시안은 다른 폴더와 구별되는 어두운 색 카드</t>
        </is>
      </c>
    </row>
    <row r="26" ht="86.25" customHeight="1" s="25">
      <c r="A26" s="39" t="inlineStr">
        <is>
          <t>재발견</t>
        </is>
      </c>
      <c r="B26" s="43" t="inlineStr">
        <is>
          <t>팀원 B</t>
        </is>
      </c>
      <c r="C26" s="39" t="inlineStr">
        <is>
          <t>팀원 D</t>
        </is>
      </c>
      <c r="D26" s="34" t="inlineStr">
        <is>
          <t>F04</t>
        </is>
      </c>
      <c r="E26" s="28" t="inlineStr">
        <is>
          <t>잊고 있던 북마크 (재발견)</t>
        </is>
      </c>
      <c r="F26" s="34" t="inlineStr">
        <is>
          <t>P1</t>
        </is>
      </c>
      <c r="G26" s="34" t="inlineStr">
        <is>
          <t>F04-05</t>
        </is>
      </c>
      <c r="H26" s="39" t="inlineStr">
        <is>
          <t>정상</t>
        </is>
      </c>
      <c r="I26" s="34" t="inlineStr">
        <is>
          <t>Event-driven</t>
        </is>
      </c>
      <c r="J26" s="31" t="inlineStr">
        <is>
          <t>WHEN 사용자가 "잊고 있던 북마크" 폴더를 클릭하면 THE 새 탭 화면은 SHALL 후보를 오래 안 연 순서로 최대 8개까지 팝업에 표시하고, 각 앱에 "N개월 전 저장"과 "N개월 전에 열어 봄"을 표시한다.</t>
        </is>
      </c>
      <c r="K26" s="39" t="inlineStr">
        <is>
          <t>새 탭 메인</t>
        </is>
      </c>
      <c r="L26" s="34" t="inlineStr">
        <is>
          <t>#22</t>
        </is>
      </c>
      <c r="M26" s="34" t="inlineStr">
        <is>
          <t>2-3, 3-3</t>
        </is>
      </c>
      <c r="N26" s="49" t="inlineStr">
        <is>
          <t>추가(v9): 설치 첫날에는 주소창으로 여는 북마크까지 대부분 후보가 되므로 8개 상한을 둠. 후보가 8개를 넘으면 "N개 더 있어요 · 모두 보기"로 나머지를 봄(P2). 열거나 고정하거나 [이제 안 봐도 됨]을 누르면 다음 후보가 올라옴</t>
        </is>
      </c>
    </row>
    <row r="27" ht="29.25" customHeight="1" s="25">
      <c r="A27" s="39" t="inlineStr">
        <is>
          <t>재발견</t>
        </is>
      </c>
      <c r="B27" s="43" t="inlineStr">
        <is>
          <t>팀원 B</t>
        </is>
      </c>
      <c r="C27" s="39" t="n"/>
      <c r="D27" s="34" t="inlineStr">
        <is>
          <t>F04</t>
        </is>
      </c>
      <c r="E27" s="28" t="inlineStr">
        <is>
          <t>잊고 있던 북마크 (재발견)</t>
        </is>
      </c>
      <c r="F27" s="34" t="inlineStr">
        <is>
          <t>P1</t>
        </is>
      </c>
      <c r="G27" s="34" t="inlineStr">
        <is>
          <t>F04-06</t>
        </is>
      </c>
      <c r="H27" s="39" t="inlineStr">
        <is>
          <t>정상</t>
        </is>
      </c>
      <c r="I27" s="34" t="inlineStr">
        <is>
          <t>Ubiquitous</t>
        </is>
      </c>
      <c r="J27" s="31" t="inlineStr">
        <is>
          <t>THE 시스템은 SHALL "잊고 있던 북마크" 폴더를 크롬 북마크에 만들지 않고, 후보 북마크의 위치를 바꾸지 않는다.</t>
        </is>
      </c>
      <c r="K27" s="39" t="inlineStr">
        <is>
          <t>화면 없음</t>
        </is>
      </c>
      <c r="L27" s="34" t="inlineStr">
        <is>
          <t>#22</t>
        </is>
      </c>
      <c r="M27" s="34" t="inlineStr">
        <is>
          <t>2-3, 3-3</t>
        </is>
      </c>
      <c r="N27" s="28" t="n"/>
    </row>
    <row r="28" ht="29.25" customHeight="1" s="25">
      <c r="A28" s="39" t="inlineStr">
        <is>
          <t>재발견</t>
        </is>
      </c>
      <c r="B28" s="43" t="inlineStr">
        <is>
          <t>팀원 B</t>
        </is>
      </c>
      <c r="C28" s="39" t="inlineStr">
        <is>
          <t>팀원 D</t>
        </is>
      </c>
      <c r="D28" s="34" t="inlineStr">
        <is>
          <t>F04</t>
        </is>
      </c>
      <c r="E28" s="28" t="inlineStr">
        <is>
          <t>잊고 있던 북마크 (재발견)</t>
        </is>
      </c>
      <c r="F28" s="34" t="inlineStr">
        <is>
          <t>P1</t>
        </is>
      </c>
      <c r="G28" s="34" t="inlineStr">
        <is>
          <t>F04-07</t>
        </is>
      </c>
      <c r="H28" s="39" t="inlineStr">
        <is>
          <t>정상</t>
        </is>
      </c>
      <c r="I28" s="34" t="inlineStr">
        <is>
          <t>Event-driven</t>
        </is>
      </c>
      <c r="J28" s="31" t="inlineStr">
        <is>
          <t>WHEN 사용자가 후보 앱을 열면 THE 시스템은 SHALL 페이지를 열고 연 시각을 기록하며, 그 북마크를 후보에서 뺀다.</t>
        </is>
      </c>
      <c r="K28" s="39" t="inlineStr">
        <is>
          <t>새 탭 메인</t>
        </is>
      </c>
      <c r="L28" s="34" t="inlineStr">
        <is>
          <t>#22</t>
        </is>
      </c>
      <c r="M28" s="34" t="inlineStr">
        <is>
          <t>2-3, 3-3</t>
        </is>
      </c>
      <c r="N28" s="49" t="inlineStr">
        <is>
          <t>수정(v9): 아이콘과 제목 어느 쪽을 눌러도 열림</t>
        </is>
      </c>
    </row>
    <row r="29" ht="29.25" customHeight="1" s="25">
      <c r="A29" s="39" t="inlineStr">
        <is>
          <t>재발견</t>
        </is>
      </c>
      <c r="B29" s="43" t="inlineStr">
        <is>
          <t>팀원 B</t>
        </is>
      </c>
      <c r="C29" s="39" t="inlineStr">
        <is>
          <t>팀원 D</t>
        </is>
      </c>
      <c r="D29" s="34" t="inlineStr">
        <is>
          <t>F04</t>
        </is>
      </c>
      <c r="E29" s="28" t="inlineStr">
        <is>
          <t>잊고 있던 북마크 (재발견)</t>
        </is>
      </c>
      <c r="F29" s="34" t="inlineStr">
        <is>
          <t>P2</t>
        </is>
      </c>
      <c r="G29" s="34" t="inlineStr">
        <is>
          <t>F04-08</t>
        </is>
      </c>
      <c r="H29" s="39" t="inlineStr">
        <is>
          <t>정상</t>
        </is>
      </c>
      <c r="I29" s="34" t="inlineStr">
        <is>
          <t>Event-driven</t>
        </is>
      </c>
      <c r="J29" s="31" t="inlineStr">
        <is>
          <t>WHEN 사용자가 후보 앱에서 [고정하기]를 누르면 THE 시스템은 SHALL 그 북마크를 독에 추가하고 후보에서 뺀다.</t>
        </is>
      </c>
      <c r="K29" s="39" t="inlineStr">
        <is>
          <t>새 탭 메인</t>
        </is>
      </c>
      <c r="L29" s="34" t="inlineStr">
        <is>
          <t>#23</t>
        </is>
      </c>
      <c r="M29" s="34" t="inlineStr">
        <is>
          <t>2-3, 3-3</t>
        </is>
      </c>
      <c r="N29" s="28" t="n"/>
    </row>
    <row r="30" ht="43.5" customHeight="1" s="25">
      <c r="A30" s="39" t="inlineStr">
        <is>
          <t>재발견</t>
        </is>
      </c>
      <c r="B30" s="43" t="inlineStr">
        <is>
          <t>팀원 B</t>
        </is>
      </c>
      <c r="C30" s="39" t="inlineStr">
        <is>
          <t>팀원 D</t>
        </is>
      </c>
      <c r="D30" s="34" t="inlineStr">
        <is>
          <t>F04</t>
        </is>
      </c>
      <c r="E30" s="28" t="inlineStr">
        <is>
          <t>잊고 있던 북마크 (재발견)</t>
        </is>
      </c>
      <c r="F30" s="34" t="inlineStr">
        <is>
          <t>P1</t>
        </is>
      </c>
      <c r="G30" s="34" t="inlineStr">
        <is>
          <t>F04-09</t>
        </is>
      </c>
      <c r="H30" s="39" t="inlineStr">
        <is>
          <t>정상</t>
        </is>
      </c>
      <c r="I30" s="34" t="inlineStr">
        <is>
          <t>Event-driven</t>
        </is>
      </c>
      <c r="J30" s="31" t="inlineStr">
        <is>
          <t>WHEN 사용자가 후보 앱에서 [이제 안 봐도 됨]을 누르면 THE 시스템은 SHALL 그 북마크를 dismissed에 기록해 다시 후보로 고르지 않고, [되돌리기] 버튼을 표시한다.</t>
        </is>
      </c>
      <c r="K30" s="39" t="inlineStr">
        <is>
          <t>새 탭 메인</t>
        </is>
      </c>
      <c r="L30" s="34" t="inlineStr">
        <is>
          <t>#22</t>
        </is>
      </c>
      <c r="M30" s="34" t="inlineStr">
        <is>
          <t>2-3, 3-3</t>
        </is>
      </c>
      <c r="N30" s="49" t="inlineStr">
        <is>
          <t>확정(v9): [되돌리기] 안내는 6초 동안 표시</t>
        </is>
      </c>
    </row>
    <row r="31" ht="29.25" customHeight="1" s="25">
      <c r="A31" s="39" t="inlineStr">
        <is>
          <t>재발견</t>
        </is>
      </c>
      <c r="B31" s="43" t="inlineStr">
        <is>
          <t>팀원 B</t>
        </is>
      </c>
      <c r="C31" s="39" t="inlineStr">
        <is>
          <t>팀원 D</t>
        </is>
      </c>
      <c r="D31" s="34" t="inlineStr">
        <is>
          <t>F04</t>
        </is>
      </c>
      <c r="E31" s="28" t="inlineStr">
        <is>
          <t>잊고 있던 북마크 (재발견)</t>
        </is>
      </c>
      <c r="F31" s="34" t="inlineStr">
        <is>
          <t>P1</t>
        </is>
      </c>
      <c r="G31" s="34" t="inlineStr">
        <is>
          <t>F04-10</t>
        </is>
      </c>
      <c r="H31" s="39" t="inlineStr">
        <is>
          <t>정상</t>
        </is>
      </c>
      <c r="I31" s="34" t="inlineStr">
        <is>
          <t>Event-driven</t>
        </is>
      </c>
      <c r="J31" s="31" t="inlineStr">
        <is>
          <t>WHEN 사용자가 후보 앱에서 [어디 있는지 보기]를 누르면 THE 새 탭 화면은 SHALL 그 북마크가 들어 있는 앱 폴더의 팝업을 연다.</t>
        </is>
      </c>
      <c r="K31" s="39" t="inlineStr">
        <is>
          <t>새 탭 메인</t>
        </is>
      </c>
      <c r="L31" s="34" t="inlineStr">
        <is>
          <t>#22</t>
        </is>
      </c>
      <c r="M31" s="34" t="inlineStr">
        <is>
          <t>2-3, 3-3</t>
        </is>
      </c>
      <c r="N31" s="28" t="n"/>
    </row>
    <row r="32" ht="29.25" customHeight="1" s="25">
      <c r="A32" s="39" t="inlineStr">
        <is>
          <t>재발견</t>
        </is>
      </c>
      <c r="B32" s="43" t="inlineStr">
        <is>
          <t>팀원 B</t>
        </is>
      </c>
      <c r="C32" s="39" t="inlineStr">
        <is>
          <t>팀원 D</t>
        </is>
      </c>
      <c r="D32" s="34" t="inlineStr">
        <is>
          <t>F04</t>
        </is>
      </c>
      <c r="E32" s="28" t="inlineStr">
        <is>
          <t>잊고 있던 북마크 (재발견)</t>
        </is>
      </c>
      <c r="F32" s="34" t="inlineStr">
        <is>
          <t>P1</t>
        </is>
      </c>
      <c r="G32" s="34" t="inlineStr">
        <is>
          <t>F04-11</t>
        </is>
      </c>
      <c r="H32" s="47" t="inlineStr">
        <is>
          <t>예외</t>
        </is>
      </c>
      <c r="I32" s="34" t="inlineStr">
        <is>
          <t>Unwanted</t>
        </is>
      </c>
      <c r="J32" s="31" t="inlineStr">
        <is>
          <t>IF 후보가 하나도 없으면 THEN THE 새 탭 화면은 SHALL "잊고 있던 북마크" 폴더를 표시하지 않는다.</t>
        </is>
      </c>
      <c r="K32" s="39" t="inlineStr">
        <is>
          <t>새 탭 메인</t>
        </is>
      </c>
      <c r="L32" s="34" t="inlineStr">
        <is>
          <t>#22</t>
        </is>
      </c>
      <c r="M32" s="34" t="inlineStr">
        <is>
          <t>2-3, 3-3</t>
        </is>
      </c>
      <c r="N32" s="28" t="n"/>
    </row>
    <row r="33" ht="29.25" customHeight="1" s="25">
      <c r="A33" s="39" t="inlineStr">
        <is>
          <t>재발견</t>
        </is>
      </c>
      <c r="B33" s="43" t="inlineStr">
        <is>
          <t>팀원 B</t>
        </is>
      </c>
      <c r="C33" s="39" t="inlineStr">
        <is>
          <t>팀원 D</t>
        </is>
      </c>
      <c r="D33" s="34" t="inlineStr">
        <is>
          <t>F04</t>
        </is>
      </c>
      <c r="E33" s="28" t="inlineStr">
        <is>
          <t>잊고 있던 북마크 (재발견)</t>
        </is>
      </c>
      <c r="F33" s="34" t="inlineStr">
        <is>
          <t>P1</t>
        </is>
      </c>
      <c r="G33" s="34" t="inlineStr">
        <is>
          <t>F04-12</t>
        </is>
      </c>
      <c r="H33" s="47" t="inlineStr">
        <is>
          <t>예외</t>
        </is>
      </c>
      <c r="I33" s="34" t="inlineStr">
        <is>
          <t>Unwanted</t>
        </is>
      </c>
      <c r="J33" s="31" t="inlineStr">
        <is>
          <t>IF 북마크에 lastOpenedByUs와 dateLastUsed가 모두 없으면 THEN THE 새 탭 화면은 SHALL 그 앱에 "연 기록 없음"을 표시한다.</t>
        </is>
      </c>
      <c r="K33" s="39" t="inlineStr">
        <is>
          <t>새 탭 메인</t>
        </is>
      </c>
      <c r="L33" s="34" t="inlineStr">
        <is>
          <t>#22</t>
        </is>
      </c>
      <c r="M33" s="34" t="inlineStr">
        <is>
          <t>2-3, 3-3</t>
        </is>
      </c>
      <c r="N33" s="49" t="inlineStr">
        <is>
          <t>수정(v9): 주소창으로 여는 북마크는 기록이 남지 않아 "안 열어 봄"이 틀린 말이 됨</t>
        </is>
      </c>
    </row>
    <row r="34" ht="57.75" customHeight="1" s="25">
      <c r="A34" s="39" t="inlineStr">
        <is>
          <t>분류 규칙</t>
        </is>
      </c>
      <c r="B34" s="43" t="inlineStr">
        <is>
          <t>팀원 B</t>
        </is>
      </c>
      <c r="C34" s="39" t="n"/>
      <c r="D34" s="34" t="inlineStr">
        <is>
          <t>F05</t>
        </is>
      </c>
      <c r="E34" s="28" t="inlineStr">
        <is>
          <t>분류와 폴더 계획</t>
        </is>
      </c>
      <c r="F34" s="34" t="inlineStr">
        <is>
          <t>P1</t>
        </is>
      </c>
      <c r="G34" s="34" t="inlineStr">
        <is>
          <t>F05-01</t>
        </is>
      </c>
      <c r="H34" s="39" t="inlineStr">
        <is>
          <t>정상</t>
        </is>
      </c>
      <c r="I34" s="34" t="inlineStr">
        <is>
          <t>Ubiquitous</t>
        </is>
      </c>
      <c r="J34" s="31" t="inlineStr">
        <is>
          <t>THE 시스템은 SHALL 북마크를 ① 사이트 분류표 ② 주소 끝 규칙 ③ 제목 키워드 순서로 확인해, 처음 맞는 단계에서 카테고리 하나를 정하고 멈춘다. 사이트 분류표에서 여러 항목이 맞으면 더 긴(구체적인) 주소를 따른다. 주소가 categories.json의 '분류하지 않는 사이트'에 맞으면 주소 끝 규칙과 제목 키워드를 확인하지 않고 분류 안 됨으로 정한다.</t>
        </is>
      </c>
      <c r="K34" s="39" t="inlineStr">
        <is>
          <t>화면 없음</t>
        </is>
      </c>
      <c r="L34" s="34" t="inlineStr">
        <is>
          <t>#22</t>
        </is>
      </c>
      <c r="M34" s="34" t="inlineStr">
        <is>
          <t>2-5 ~ 2-8</t>
        </is>
      </c>
      <c r="N34" s="49" t="inlineStr">
        <is>
          <t>추가(v4) · 실행 확인: 앞의 www.는 떼고, 하위 주소(m.blog.naver.com)도 같은 항목으로 봄. blog.naver.com과 cafe.naver.com이 서로 다른 카테고리로 나뉘는 것을 확인
추가(v11): 분류하지 않는 사이트(뉴스·위키·검색 결과)는 제목 키워드 오분류를 막기 위한 것. 분류표 항목과 함께 비교하고 더 긴 주소를 따름. 주소 끝 규칙에 .edu 추가. 제목 키워드는 띄어쓰기를 없애지 않고 비교. 정의와 분류표 내용은 category-definitions.md</t>
        </is>
      </c>
    </row>
    <row r="35" ht="29.25" customHeight="1" s="25">
      <c r="A35" s="39" t="inlineStr">
        <is>
          <t>분류 규칙</t>
        </is>
      </c>
      <c r="B35" s="43" t="inlineStr">
        <is>
          <t>팀원 B</t>
        </is>
      </c>
      <c r="C35" s="39" t="n"/>
      <c r="D35" s="34" t="inlineStr">
        <is>
          <t>F05</t>
        </is>
      </c>
      <c r="E35" s="28" t="inlineStr">
        <is>
          <t>분류와 폴더 계획</t>
        </is>
      </c>
      <c r="F35" s="34" t="inlineStr">
        <is>
          <t>P1</t>
        </is>
      </c>
      <c r="G35" s="34" t="inlineStr">
        <is>
          <t>F05-02</t>
        </is>
      </c>
      <c r="H35" s="39" t="inlineStr">
        <is>
          <t>정상</t>
        </is>
      </c>
      <c r="I35" s="34" t="inlineStr">
        <is>
          <t>Ubiquitous</t>
        </is>
      </c>
      <c r="J35" s="31" t="inlineStr">
        <is>
          <t>THE 시스템은 SHALL 분류 결과마다 근거(맞은 단계와 맞은 규칙)를 함께 돌려준다.</t>
        </is>
      </c>
      <c r="K35" s="39" t="inlineStr">
        <is>
          <t>화면 없음</t>
        </is>
      </c>
      <c r="L35" s="34" t="inlineStr">
        <is>
          <t>#22</t>
        </is>
      </c>
      <c r="M35" s="34" t="inlineStr">
        <is>
          <t>2-5 ~ 2-8</t>
        </is>
      </c>
      <c r="N35" s="28" t="n"/>
    </row>
    <row r="36" ht="29.25" customHeight="1" s="25">
      <c r="A36" s="39" t="inlineStr">
        <is>
          <t>분류 규칙</t>
        </is>
      </c>
      <c r="B36" s="43" t="inlineStr">
        <is>
          <t>팀원 B</t>
        </is>
      </c>
      <c r="C36" s="39" t="n"/>
      <c r="D36" s="34" t="inlineStr">
        <is>
          <t>F05</t>
        </is>
      </c>
      <c r="E36" s="28" t="inlineStr">
        <is>
          <t>분류와 폴더 계획</t>
        </is>
      </c>
      <c r="F36" s="34" t="inlineStr">
        <is>
          <t>P1</t>
        </is>
      </c>
      <c r="G36" s="34" t="inlineStr">
        <is>
          <t>F05-03</t>
        </is>
      </c>
      <c r="H36" s="39" t="inlineStr">
        <is>
          <t>정상</t>
        </is>
      </c>
      <c r="I36" s="34" t="inlineStr">
        <is>
          <t>Ubiquitous</t>
        </is>
      </c>
      <c r="J36" s="31" t="inlineStr">
        <is>
          <t>THE 시스템은 SHALL 분류표와 제목 키워드를 코드가 아닌 data/categories.json에서 읽는다.</t>
        </is>
      </c>
      <c r="K36" s="39" t="inlineStr">
        <is>
          <t>화면 없음</t>
        </is>
      </c>
      <c r="L36" s="34" t="inlineStr">
        <is>
          <t>#22</t>
        </is>
      </c>
      <c r="M36" s="34" t="inlineStr">
        <is>
          <t>2-5 ~ 2-8</t>
        </is>
      </c>
      <c r="N36" s="28" t="n"/>
    </row>
    <row r="37" ht="114.75" customHeight="1" s="25">
      <c r="A37" s="39" t="inlineStr">
        <is>
          <t>폴더 계획</t>
        </is>
      </c>
      <c r="B37" s="42" t="inlineStr">
        <is>
          <t>팀원 C</t>
        </is>
      </c>
      <c r="C37" s="39" t="n"/>
      <c r="D37" s="34" t="inlineStr">
        <is>
          <t>F05</t>
        </is>
      </c>
      <c r="E37" s="28" t="inlineStr">
        <is>
          <t>분류와 폴더 계획</t>
        </is>
      </c>
      <c r="F37" s="34" t="inlineStr">
        <is>
          <t>P1</t>
        </is>
      </c>
      <c r="G37" s="34" t="inlineStr">
        <is>
          <t>F05-04</t>
        </is>
      </c>
      <c r="H37" s="39" t="inlineStr">
        <is>
          <t>정상</t>
        </is>
      </c>
      <c r="I37" s="34" t="inlineStr">
        <is>
          <t>Ubiquitous</t>
        </is>
      </c>
      <c r="J37" s="31" t="inlineStr">
        <is>
          <t>THE 시스템은 SHALL 북마크바·기타 북마크·모바일 북마크 바로 아래에 폴더 없이 흩어져 있는 북마크를 정리 대상으로 삼고, 사용자가 만든 폴더·최근 30일 안에 북마크바에서 연 북마크(dateLastUsed 기준)·javascript:와 chrome:// 주소·직접 옮긴 북마크는 뺀다. 단, 크롬의 가져오기 폴더(북마크바·기타 북마크·모바일 북마크 바로 아래에 있고 이름이 목록에 있는 폴더)는 사용자가 만든 폴더로 보지 않고, 그 바로 아래의 북마크를 정리 대상에 넣는다.</t>
        </is>
      </c>
      <c r="K37" s="39" t="inlineStr">
        <is>
          <t>화면 없음</t>
        </is>
      </c>
      <c r="L37" s="34" t="inlineStr">
        <is>
          <t>#22</t>
        </is>
      </c>
      <c r="M37" s="34" t="inlineStr">
        <is>
          <t>2-5 ~ 2-8</t>
        </is>
      </c>
      <c r="N37" s="49" t="inlineStr">
        <is>
          <t>수정(v9): 북마크바를 기본 정리 대상에 포함(크롬 별 버튼의 기본 저장 위치가 북마크바). 요즘 쓰는 북마크는 폴더에 넣지 않고 카테고리 개수에도 세지 않음 / 확정(v5): 기타 북마크가 계정용·이 PC 전용 두 개면 한쪽(동기화되는 쪽)만 정리 대상으로 삼음. 이 PC 전용 북마크를 계정 쪽으로 옮기면 사용자 모르게 계정에 올라가기 때문
확정(v12, 10월 7일): 크롬 가져오기 폴더는 사용자 폴더로 보지 않는다. 실행 확인: 북마크가 없는 새 프로필에 HTML을 가져오면 북마크바 항목은 북마크바에 그대로, 나머지는 기타 북마크가 아니라 북마크바 맨 끝의 "가져온 북마크" 폴더에 들어감. 다른 브라우저에서 옮겨 온 사용자도 같은 폴더를 가짐. 크롬이 가져오기 폴더에 따로 표시를 남기지 않아 폴더 이름으로 판단함. 이름 목록: "가져온 북마크"(한국어 크롬에서 HTML 가져오기로 확인, 10월 7일). 범위(v14): 한국어 크롬의 파일 가져오기("가져온 북마크")만 다룬다. 영어 크롬의 "Imported", 다른 브라우저의 북마크를 크롬으로 가져왔을 때의 "Imported From Firefox" 같은 이름, 이름 뒤에 붙는 번호는 팀이 확인할 수 없어 다루지 않는다. 그런 폴더는 사용자 폴더로 취급되어 정리 대상에서 빠진다. 가져오기 폴더 안의 폴더는 사용자 폴더로 봄. 사용자가 같은 이름의 폴더를 직접 만들었으면 그 폴더도 대상이 되는 한계가 있음(첫 정리 카드에서 미리 보여 주고 되돌릴 수 있음). 화면에서는 가져오기 폴더도 보통 앱 폴더로 표시(F03-01)</t>
        </is>
      </c>
    </row>
    <row r="38" ht="43.5" customHeight="1" s="25">
      <c r="A38" s="39" t="inlineStr">
        <is>
          <t>폴더 계획</t>
        </is>
      </c>
      <c r="B38" s="42" t="inlineStr">
        <is>
          <t>팀원 C</t>
        </is>
      </c>
      <c r="C38" s="39" t="n"/>
      <c r="D38" s="34" t="inlineStr">
        <is>
          <t>F05</t>
        </is>
      </c>
      <c r="E38" s="28" t="inlineStr">
        <is>
          <t>분류와 폴더 계획</t>
        </is>
      </c>
      <c r="F38" s="34" t="inlineStr">
        <is>
          <t>P1</t>
        </is>
      </c>
      <c r="G38" s="34" t="inlineStr">
        <is>
          <t>F05-05</t>
        </is>
      </c>
      <c r="H38" s="39" t="inlineStr">
        <is>
          <t>정상</t>
        </is>
      </c>
      <c r="I38" s="34" t="inlineStr">
        <is>
          <t>Ubiquitous</t>
        </is>
      </c>
      <c r="J38" s="31" t="inlineStr">
        <is>
          <t>THE 시스템은 SHALL 정리 대상이 10~29개면 최대 3개, 30~59개면 최대 4개, 60~99개면 최대 5개, 100개 이상이면 최대 6개의 폴더를 북마크가 많은 카테고리부터 계획한다.</t>
        </is>
      </c>
      <c r="K38" s="39" t="inlineStr">
        <is>
          <t>화면 없음</t>
        </is>
      </c>
      <c r="L38" s="34" t="inlineStr">
        <is>
          <t>#22</t>
        </is>
      </c>
      <c r="M38" s="34" t="inlineStr">
        <is>
          <t>2-5 ~ 2-8</t>
        </is>
      </c>
      <c r="N38" s="28" t="n"/>
    </row>
    <row r="39" ht="29.25" customHeight="1" s="25">
      <c r="A39" s="39" t="inlineStr">
        <is>
          <t>폴더 계획</t>
        </is>
      </c>
      <c r="B39" s="42" t="inlineStr">
        <is>
          <t>팀원 C</t>
        </is>
      </c>
      <c r="C39" s="39" t="n"/>
      <c r="D39" s="34" t="inlineStr">
        <is>
          <t>F05</t>
        </is>
      </c>
      <c r="E39" s="28" t="inlineStr">
        <is>
          <t>분류와 폴더 계획</t>
        </is>
      </c>
      <c r="F39" s="34" t="inlineStr">
        <is>
          <t>P1</t>
        </is>
      </c>
      <c r="G39" s="34" t="inlineStr">
        <is>
          <t>F05-06</t>
        </is>
      </c>
      <c r="H39" s="39" t="inlineStr">
        <is>
          <t>정상</t>
        </is>
      </c>
      <c r="I39" s="34" t="inlineStr">
        <is>
          <t>Ubiquitous</t>
        </is>
      </c>
      <c r="J39" s="31" t="inlineStr">
        <is>
          <t>THE 시스템은 SHALL 북마크가 3개 미만인 카테고리를 폴더로 계획하지 않고, "기타" 폴더를 만들지 않는다.</t>
        </is>
      </c>
      <c r="K39" s="39" t="inlineStr">
        <is>
          <t>화면 없음</t>
        </is>
      </c>
      <c r="L39" s="34" t="inlineStr">
        <is>
          <t>#22</t>
        </is>
      </c>
      <c r="M39" s="34" t="inlineStr">
        <is>
          <t>2-5 ~ 2-8</t>
        </is>
      </c>
      <c r="N39" s="28" t="n"/>
    </row>
    <row r="40" ht="29.25" customHeight="1" s="25">
      <c r="A40" s="39" t="inlineStr">
        <is>
          <t>폴더 계획</t>
        </is>
      </c>
      <c r="B40" s="42" t="inlineStr">
        <is>
          <t>팀원 C</t>
        </is>
      </c>
      <c r="C40" s="39" t="n"/>
      <c r="D40" s="34" t="inlineStr">
        <is>
          <t>F05</t>
        </is>
      </c>
      <c r="E40" s="28" t="inlineStr">
        <is>
          <t>분류와 폴더 계획</t>
        </is>
      </c>
      <c r="F40" s="34" t="inlineStr">
        <is>
          <t>P1</t>
        </is>
      </c>
      <c r="G40" s="34" t="inlineStr">
        <is>
          <t>F05-07</t>
        </is>
      </c>
      <c r="H40" s="39" t="inlineStr">
        <is>
          <t>정상</t>
        </is>
      </c>
      <c r="I40" s="34" t="inlineStr">
        <is>
          <t>Ubiquitous</t>
        </is>
      </c>
      <c r="J40" s="31" t="inlineStr">
        <is>
          <t>THE 시스템은 SHALL 같은 북마크 목록과 같은 분류표에 대해 항상 같은 계획을 돌려주고, 개수가 같은 카테고리는 categories.json에 적힌 순서로 고른다.</t>
        </is>
      </c>
      <c r="K40" s="39" t="inlineStr">
        <is>
          <t>화면 없음</t>
        </is>
      </c>
      <c r="L40" s="34" t="inlineStr">
        <is>
          <t>#22</t>
        </is>
      </c>
      <c r="M40" s="34" t="inlineStr">
        <is>
          <t>2-5 ~ 2-8</t>
        </is>
      </c>
      <c r="N40" s="48" t="inlineStr">
        <is>
          <t>제안: 동점 처리 기준</t>
        </is>
      </c>
    </row>
    <row r="41" ht="29.25" customHeight="1" s="25">
      <c r="A41" s="39" t="inlineStr">
        <is>
          <t>분류 규칙</t>
        </is>
      </c>
      <c r="B41" s="43" t="inlineStr">
        <is>
          <t>팀원 B</t>
        </is>
      </c>
      <c r="C41" s="39" t="n"/>
      <c r="D41" s="34" t="inlineStr">
        <is>
          <t>F05</t>
        </is>
      </c>
      <c r="E41" s="28" t="inlineStr">
        <is>
          <t>분류와 폴더 계획</t>
        </is>
      </c>
      <c r="F41" s="34" t="inlineStr">
        <is>
          <t>P1</t>
        </is>
      </c>
      <c r="G41" s="34" t="inlineStr">
        <is>
          <t>F05-08</t>
        </is>
      </c>
      <c r="H41" s="47" t="inlineStr">
        <is>
          <t>예외</t>
        </is>
      </c>
      <c r="I41" s="34" t="inlineStr">
        <is>
          <t>Unwanted</t>
        </is>
      </c>
      <c r="J41" s="31" t="inlineStr">
        <is>
          <t>IF 북마크가 어느 단계에도 맞지 않으면 THEN THE 시스템은 SHALL "분류 안 됨"으로 표시하고 폴더 계획에 넣지 않는다.</t>
        </is>
      </c>
      <c r="K41" s="39" t="inlineStr">
        <is>
          <t>화면 없음</t>
        </is>
      </c>
      <c r="L41" s="34" t="inlineStr">
        <is>
          <t>#22</t>
        </is>
      </c>
      <c r="M41" s="34" t="inlineStr">
        <is>
          <t>2-5 ~ 2-8</t>
        </is>
      </c>
      <c r="N41" s="28" t="n"/>
    </row>
    <row r="42" ht="29.25" customHeight="1" s="25">
      <c r="A42" s="39" t="inlineStr">
        <is>
          <t>폴더 계획</t>
        </is>
      </c>
      <c r="B42" s="42" t="inlineStr">
        <is>
          <t>팀원 C</t>
        </is>
      </c>
      <c r="C42" s="39" t="n"/>
      <c r="D42" s="34" t="inlineStr">
        <is>
          <t>F05</t>
        </is>
      </c>
      <c r="E42" s="28" t="inlineStr">
        <is>
          <t>분류와 폴더 계획</t>
        </is>
      </c>
      <c r="F42" s="34" t="inlineStr">
        <is>
          <t>P1</t>
        </is>
      </c>
      <c r="G42" s="34" t="inlineStr">
        <is>
          <t>F05-09</t>
        </is>
      </c>
      <c r="H42" s="47" t="inlineStr">
        <is>
          <t>예외</t>
        </is>
      </c>
      <c r="I42" s="34" t="inlineStr">
        <is>
          <t>Unwanted</t>
        </is>
      </c>
      <c r="J42" s="31" t="inlineStr">
        <is>
          <t>IF 정리 대상이 10개 미만이거나 3개 이상 모인 카테고리가 하나도 없으면 THEN THE 시스템은 SHALL 폴더 계획 대신 고정 제안을 돌려준다.</t>
        </is>
      </c>
      <c r="K42" s="39" t="inlineStr">
        <is>
          <t>화면 없음</t>
        </is>
      </c>
      <c r="L42" s="34" t="inlineStr">
        <is>
          <t>#22</t>
        </is>
      </c>
      <c r="M42" s="34" t="inlineStr">
        <is>
          <t>2-5 ~ 2-8</t>
        </is>
      </c>
      <c r="N42" s="28" t="n"/>
    </row>
    <row r="43" ht="43.5" customHeight="1" s="25">
      <c r="A43" s="39" t="inlineStr">
        <is>
          <t>정리 카드</t>
        </is>
      </c>
      <c r="B43" s="41" t="inlineStr">
        <is>
          <t>팀원 D</t>
        </is>
      </c>
      <c r="C43" s="39" t="inlineStr">
        <is>
          <t>팀원 C</t>
        </is>
      </c>
      <c r="D43" s="34" t="inlineStr">
        <is>
          <t>F06</t>
        </is>
      </c>
      <c r="E43" s="28" t="inlineStr">
        <is>
          <t>첫 정리 카드 + 자세히 보기</t>
        </is>
      </c>
      <c r="F43" s="34" t="inlineStr">
        <is>
          <t>P1</t>
        </is>
      </c>
      <c r="G43" s="34" t="inlineStr">
        <is>
          <t>F06-01</t>
        </is>
      </c>
      <c r="H43" s="39" t="inlineStr">
        <is>
          <t>정상</t>
        </is>
      </c>
      <c r="I43" s="34" t="inlineStr">
        <is>
          <t>Event-driven</t>
        </is>
      </c>
      <c r="J43" s="31" t="inlineStr">
        <is>
          <t>WHEN 사용자가 설치 후 처음 새 탭을 열면 THE 새 탭 화면은 SHALL 폴더별 개수와 "나머지 N개는 그대로", [정리하기]·[자세히 보기]·[나중에] 버튼이 있는 첫 정리 카드를 표시한다.</t>
        </is>
      </c>
      <c r="K43" s="39" t="inlineStr">
        <is>
          <t>새 탭 메인</t>
        </is>
      </c>
      <c r="L43" s="34" t="inlineStr">
        <is>
          <t>#22</t>
        </is>
      </c>
      <c r="M43" s="34" t="inlineStr">
        <is>
          <t>2-10, 3-4</t>
        </is>
      </c>
      <c r="N43" s="49" t="inlineStr">
        <is>
          <t>수정(v9): 카드 보조 문구는 "직접 만든 폴더와 북마크바에서 요즘 쓰는 북마크는 그대로 둬요"</t>
        </is>
      </c>
    </row>
    <row r="44" ht="29.25" customHeight="1" s="25">
      <c r="A44" s="39" t="inlineStr">
        <is>
          <t>정리 카드</t>
        </is>
      </c>
      <c r="B44" s="41" t="inlineStr">
        <is>
          <t>팀원 D</t>
        </is>
      </c>
      <c r="C44" s="39" t="n"/>
      <c r="D44" s="34" t="inlineStr">
        <is>
          <t>F06</t>
        </is>
      </c>
      <c r="E44" s="28" t="inlineStr">
        <is>
          <t>첫 정리 카드 + 자세히 보기</t>
        </is>
      </c>
      <c r="F44" s="34" t="inlineStr">
        <is>
          <t>P1</t>
        </is>
      </c>
      <c r="G44" s="34" t="inlineStr">
        <is>
          <t>F06-02</t>
        </is>
      </c>
      <c r="H44" s="39" t="inlineStr">
        <is>
          <t>정상</t>
        </is>
      </c>
      <c r="I44" s="34" t="inlineStr">
        <is>
          <t>Ubiquitous</t>
        </is>
      </c>
      <c r="J44" s="31" t="inlineStr">
        <is>
          <t>THE 시스템은 SHALL 사용자가 [정리하기]를 누르기 전에는 크롬 북마크를 하나도 바꾸지 않는다.</t>
        </is>
      </c>
      <c r="K44" s="39" t="inlineStr">
        <is>
          <t>화면 없음</t>
        </is>
      </c>
      <c r="L44" s="34" t="inlineStr">
        <is>
          <t>#22</t>
        </is>
      </c>
      <c r="M44" s="34" t="inlineStr">
        <is>
          <t>2-10, 3-4</t>
        </is>
      </c>
      <c r="N44" s="28" t="n"/>
    </row>
    <row r="45" ht="29.25" customHeight="1" s="25">
      <c r="A45" s="39" t="inlineStr">
        <is>
          <t>정리 카드</t>
        </is>
      </c>
      <c r="B45" s="41" t="inlineStr">
        <is>
          <t>팀원 D</t>
        </is>
      </c>
      <c r="C45" s="39" t="n"/>
      <c r="D45" s="34" t="inlineStr">
        <is>
          <t>F06</t>
        </is>
      </c>
      <c r="E45" s="28" t="inlineStr">
        <is>
          <t>첫 정리 카드 + 자세히 보기</t>
        </is>
      </c>
      <c r="F45" s="34" t="inlineStr">
        <is>
          <t>P1</t>
        </is>
      </c>
      <c r="G45" s="34" t="inlineStr">
        <is>
          <t>F06-03</t>
        </is>
      </c>
      <c r="H45" s="39" t="inlineStr">
        <is>
          <t>정상</t>
        </is>
      </c>
      <c r="I45" s="34" t="inlineStr">
        <is>
          <t>Event-driven</t>
        </is>
      </c>
      <c r="J45" s="31" t="inlineStr">
        <is>
          <t>WHEN 사용자가 [자세히 보기]를 누르면 THE 정리 창은 SHALL 폴더별로 분류 근거와 들어갈 북마크 목록을 표시한다.</t>
        </is>
      </c>
      <c r="K45" s="39" t="inlineStr">
        <is>
          <t>정리 창</t>
        </is>
      </c>
      <c r="L45" s="34" t="inlineStr">
        <is>
          <t>#22</t>
        </is>
      </c>
      <c r="M45" s="34" t="inlineStr">
        <is>
          <t>2-10, 3-4</t>
        </is>
      </c>
      <c r="N45" s="28" t="n"/>
    </row>
    <row r="46" ht="43.5" customHeight="1" s="25">
      <c r="A46" s="39" t="inlineStr">
        <is>
          <t>정리 카드</t>
        </is>
      </c>
      <c r="B46" s="41" t="inlineStr">
        <is>
          <t>팀원 D</t>
        </is>
      </c>
      <c r="C46" s="39" t="n"/>
      <c r="D46" s="34" t="inlineStr">
        <is>
          <t>F06</t>
        </is>
      </c>
      <c r="E46" s="28" t="inlineStr">
        <is>
          <t>첫 정리 카드 + 자세히 보기</t>
        </is>
      </c>
      <c r="F46" s="34" t="inlineStr">
        <is>
          <t>P2</t>
        </is>
      </c>
      <c r="G46" s="34" t="inlineStr">
        <is>
          <t>F06-04</t>
        </is>
      </c>
      <c r="H46" s="39" t="inlineStr">
        <is>
          <t>정상</t>
        </is>
      </c>
      <c r="I46" s="34" t="inlineStr">
        <is>
          <t>Event-driven</t>
        </is>
      </c>
      <c r="J46" s="31" t="inlineStr">
        <is>
          <t>WHEN 사용자가 자세히 보기에서 폴더 빼기, 폴더 이름 바꾸기, 북마크별 폴더 바꾸기, 북마크바 제외·사용자 폴더 포함을 하면 THE 정리 창은 SHALL 계획과 화면의 개수만 바꾸고 크롬 북마크는 바꾸지 않는다.</t>
        </is>
      </c>
      <c r="K46" s="39" t="inlineStr">
        <is>
          <t>정리 창</t>
        </is>
      </c>
      <c r="L46" s="34" t="inlineStr">
        <is>
          <t>#23</t>
        </is>
      </c>
      <c r="M46" s="34" t="inlineStr">
        <is>
          <t>2-10, 3-4</t>
        </is>
      </c>
      <c r="N46" s="49" t="inlineStr">
        <is>
          <t>수정(v9): 북마크바가 기본 포함으로 바뀌어 체크의 뜻이 "제외"로 바뀜</t>
        </is>
      </c>
    </row>
    <row r="47" ht="29.25" customHeight="1" s="25">
      <c r="A47" s="39" t="inlineStr">
        <is>
          <t>정리 카드</t>
        </is>
      </c>
      <c r="B47" s="41" t="inlineStr">
        <is>
          <t>팀원 D</t>
        </is>
      </c>
      <c r="C47" s="39" t="n"/>
      <c r="D47" s="34" t="inlineStr">
        <is>
          <t>F06</t>
        </is>
      </c>
      <c r="E47" s="28" t="inlineStr">
        <is>
          <t>첫 정리 카드 + 자세히 보기</t>
        </is>
      </c>
      <c r="F47" s="34" t="inlineStr">
        <is>
          <t>P1</t>
        </is>
      </c>
      <c r="G47" s="34" t="inlineStr">
        <is>
          <t>F06-05</t>
        </is>
      </c>
      <c r="H47" s="39" t="inlineStr">
        <is>
          <t>정상</t>
        </is>
      </c>
      <c r="I47" s="34" t="inlineStr">
        <is>
          <t>Ubiquitous</t>
        </is>
      </c>
      <c r="J47" s="31" t="inlineStr">
        <is>
          <t>THE 정리 창은 SHALL 제목 키워드 단계에서 분류된 북마크에 "확인 필요" 표시를 붙인다.</t>
        </is>
      </c>
      <c r="K47" s="39" t="inlineStr">
        <is>
          <t>정리 창</t>
        </is>
      </c>
      <c r="L47" s="34" t="inlineStr">
        <is>
          <t>#22</t>
        </is>
      </c>
      <c r="M47" s="34" t="inlineStr">
        <is>
          <t>2-10, 3-4</t>
        </is>
      </c>
      <c r="N47" s="28" t="n"/>
    </row>
    <row r="48" ht="43.5" customHeight="1" s="25">
      <c r="A48" s="39" t="inlineStr">
        <is>
          <t>정리 카드</t>
        </is>
      </c>
      <c r="B48" s="41" t="inlineStr">
        <is>
          <t>팀원 D</t>
        </is>
      </c>
      <c r="C48" s="39" t="n"/>
      <c r="D48" s="34" t="inlineStr">
        <is>
          <t>F06</t>
        </is>
      </c>
      <c r="E48" s="28" t="inlineStr">
        <is>
          <t>첫 정리 카드 + 자세히 보기</t>
        </is>
      </c>
      <c r="F48" s="34" t="inlineStr">
        <is>
          <t>P1</t>
        </is>
      </c>
      <c r="G48" s="34" t="inlineStr">
        <is>
          <t>F06-06</t>
        </is>
      </c>
      <c r="H48" s="39" t="inlineStr">
        <is>
          <t>정상</t>
        </is>
      </c>
      <c r="I48" s="34" t="inlineStr">
        <is>
          <t>Event-driven</t>
        </is>
      </c>
      <c r="J48" s="31" t="inlineStr">
        <is>
          <t>WHEN 사용자가 [나중에]를 누르면 THE 새 탭 화면은 SHALL 카드를 닫고, 이후 헤더의 [정리하기] 버튼으로 같은 카드를 다시 열 수 있게 한다.</t>
        </is>
      </c>
      <c r="K48" s="39" t="inlineStr">
        <is>
          <t>새 탭 메인</t>
        </is>
      </c>
      <c r="L48" s="34" t="inlineStr">
        <is>
          <t>#22</t>
        </is>
      </c>
      <c r="M48" s="34" t="inlineStr">
        <is>
          <t>2-10, 3-4</t>
        </is>
      </c>
      <c r="N48" s="49" t="inlineStr">
        <is>
          <t>확정(v5) · 실행 확인: 새 북마크가 없어도 헤더에 [정리하기] 버튼을 남겨 두고, 누르면 카드가 다시 열림</t>
        </is>
      </c>
    </row>
    <row r="49" ht="29.25" customHeight="1" s="25">
      <c r="A49" s="39" t="inlineStr">
        <is>
          <t>정리 카드</t>
        </is>
      </c>
      <c r="B49" s="41" t="inlineStr">
        <is>
          <t>팀원 D</t>
        </is>
      </c>
      <c r="C49" s="39" t="inlineStr">
        <is>
          <t>팀원 C</t>
        </is>
      </c>
      <c r="D49" s="34" t="inlineStr">
        <is>
          <t>F06</t>
        </is>
      </c>
      <c r="E49" s="28" t="inlineStr">
        <is>
          <t>첫 정리 카드 + 자세히 보기</t>
        </is>
      </c>
      <c r="F49" s="34" t="inlineStr">
        <is>
          <t>P2</t>
        </is>
      </c>
      <c r="G49" s="34" t="inlineStr">
        <is>
          <t>F06-07</t>
        </is>
      </c>
      <c r="H49" s="47" t="inlineStr">
        <is>
          <t>예외</t>
        </is>
      </c>
      <c r="I49" s="34" t="inlineStr">
        <is>
          <t>Unwanted</t>
        </is>
      </c>
      <c r="J49" s="31" t="inlineStr">
        <is>
          <t>IF 폴더 계획 대신 고정 제안이 돌아오면 THEN THE 새 탭 화면은 SHALL 첫 정리 카드 대신 고정 제안 카드(F09)를 표시한다.</t>
        </is>
      </c>
      <c r="K49" s="39" t="inlineStr">
        <is>
          <t>새 탭 메인</t>
        </is>
      </c>
      <c r="L49" s="34" t="inlineStr">
        <is>
          <t>#23</t>
        </is>
      </c>
      <c r="M49" s="34" t="inlineStr">
        <is>
          <t>2-10, 3-4</t>
        </is>
      </c>
      <c r="N49" s="28" t="n"/>
    </row>
    <row r="50" ht="43.5" customHeight="1" s="25">
      <c r="A50" s="39" t="inlineStr">
        <is>
          <t>정리 적용</t>
        </is>
      </c>
      <c r="B50" s="40" t="inlineStr">
        <is>
          <t>팀원 A</t>
        </is>
      </c>
      <c r="C50" s="39" t="inlineStr">
        <is>
          <t>팀원 D</t>
        </is>
      </c>
      <c r="D50" s="34" t="inlineStr">
        <is>
          <t>F07</t>
        </is>
      </c>
      <c r="E50" s="28" t="inlineStr">
        <is>
          <t>정리 적용 + 직접 옮김 처리</t>
        </is>
      </c>
      <c r="F50" s="34" t="inlineStr">
        <is>
          <t>P1</t>
        </is>
      </c>
      <c r="G50" s="34" t="inlineStr">
        <is>
          <t>F07-01</t>
        </is>
      </c>
      <c r="H50" s="39" t="inlineStr">
        <is>
          <t>정상</t>
        </is>
      </c>
      <c r="I50" s="34" t="inlineStr">
        <is>
          <t>Event-driven</t>
        </is>
      </c>
      <c r="J50" s="31" t="inlineStr">
        <is>
          <t>WHEN 사용자가 [정리하기]를 누르면 THE 시스템은 SHALL 북마크바(두 개면 동기화되는 쪽) 맨 뒤에 계획된 폴더를 만들고, 북마크바와 기타 북마크의 정리 대상 북마크를 옮긴다.</t>
        </is>
      </c>
      <c r="K50" s="39" t="inlineStr">
        <is>
          <t>새 탭 메인</t>
        </is>
      </c>
      <c r="L50" s="34" t="inlineStr">
        <is>
          <t>#22</t>
        </is>
      </c>
      <c r="M50" s="34" t="inlineStr">
        <is>
          <t>2-12, 3-4</t>
        </is>
      </c>
      <c r="N50" s="49" t="inlineStr">
        <is>
          <t>수정(v9): 폴더 위치를 기타 북마크 → 북마크바 맨 뒤로 변경. 북마크바가 두 개로 보이는 경우는 개발 첫 주에 확인</t>
        </is>
      </c>
    </row>
    <row r="51" ht="43.5" customHeight="1" s="25">
      <c r="A51" s="39" t="inlineStr">
        <is>
          <t>정리 적용</t>
        </is>
      </c>
      <c r="B51" s="40" t="inlineStr">
        <is>
          <t>팀원 A</t>
        </is>
      </c>
      <c r="C51" s="39" t="n"/>
      <c r="D51" s="34" t="inlineStr">
        <is>
          <t>F07</t>
        </is>
      </c>
      <c r="E51" s="28" t="inlineStr">
        <is>
          <t>정리 적용 + 직접 옮김 처리</t>
        </is>
      </c>
      <c r="F51" s="34" t="inlineStr">
        <is>
          <t>P1</t>
        </is>
      </c>
      <c r="G51" s="34" t="inlineStr">
        <is>
          <t>F07-02</t>
        </is>
      </c>
      <c r="H51" s="39" t="inlineStr">
        <is>
          <t>정상</t>
        </is>
      </c>
      <c r="I51" s="34" t="inlineStr">
        <is>
          <t>Ubiquitous</t>
        </is>
      </c>
      <c r="J51" s="31" t="inlineStr">
        <is>
          <t>THE 시스템은 SHALL 정리할 때마다 북마크별 원래 폴더·원래 순서·옮긴 폴더를 history에 저장하고, 원래 순서는 첫 북마크를 옮기기 전에 원래 폴더의 전체 순서(ID 목록)로 한꺼번에 읽어 함께 저장한다. 정리 이유는 저장하지 않는다.</t>
        </is>
      </c>
      <c r="K51" s="39" t="inlineStr">
        <is>
          <t>화면 없음</t>
        </is>
      </c>
      <c r="L51" s="34" t="inlineStr">
        <is>
          <t>#22</t>
        </is>
      </c>
      <c r="M51" s="34" t="inlineStr">
        <is>
          <t>2-12, 3-4</t>
        </is>
      </c>
      <c r="N51" s="49" t="inlineStr">
        <is>
          <t>수정(v3) · 실행 확인: 하나씩 옮기면서 그때그때 순서를 읽으면 번호가 당겨져, 되돌렸을 때 순서가 뒤섞임(x0,x1,x4,x3,x2,x5)</t>
        </is>
      </c>
    </row>
    <row r="52" ht="43.5" customHeight="1" s="25">
      <c r="A52" s="39" t="inlineStr">
        <is>
          <t>정리 적용</t>
        </is>
      </c>
      <c r="B52" s="40" t="inlineStr">
        <is>
          <t>팀원 A</t>
        </is>
      </c>
      <c r="C52" s="39" t="inlineStr">
        <is>
          <t>팀원 D</t>
        </is>
      </c>
      <c r="D52" s="34" t="inlineStr">
        <is>
          <t>F07</t>
        </is>
      </c>
      <c r="E52" s="28" t="inlineStr">
        <is>
          <t>정리 적용 + 직접 옮김 처리</t>
        </is>
      </c>
      <c r="F52" s="34" t="inlineStr">
        <is>
          <t>P1</t>
        </is>
      </c>
      <c r="G52" s="34" t="inlineStr">
        <is>
          <t>F07-03</t>
        </is>
      </c>
      <c r="H52" s="39" t="inlineStr">
        <is>
          <t>정상</t>
        </is>
      </c>
      <c r="I52" s="34" t="inlineStr">
        <is>
          <t>Event-driven</t>
        </is>
      </c>
      <c r="J52" s="31" t="inlineStr">
        <is>
          <t>WHEN 정리 적용이 끝나면 THE 새 탭 화면은 SHALL "폴더 N개를 만들고 북마크 N개를 넣었어요"와 [되돌리기] 버튼을 12초 동안 표시하고, 사용자가 닫을 수 있게 한다.</t>
        </is>
      </c>
      <c r="K52" s="39" t="inlineStr">
        <is>
          <t>새 탭 메인</t>
        </is>
      </c>
      <c r="L52" s="34" t="inlineStr">
        <is>
          <t>#22</t>
        </is>
      </c>
      <c r="M52" s="34" t="inlineStr">
        <is>
          <t>2-12, 3-4</t>
        </is>
      </c>
      <c r="N52" s="49" t="inlineStr">
        <is>
          <t>확정(v9): 표시 시간 12초 (확정 시안)</t>
        </is>
      </c>
    </row>
    <row r="53" ht="29.25" customHeight="1" s="25">
      <c r="A53" s="39" t="inlineStr">
        <is>
          <t>정리 적용</t>
        </is>
      </c>
      <c r="B53" s="40" t="inlineStr">
        <is>
          <t>팀원 A</t>
        </is>
      </c>
      <c r="C53" s="39" t="n"/>
      <c r="D53" s="34" t="inlineStr">
        <is>
          <t>F07</t>
        </is>
      </c>
      <c r="E53" s="28" t="inlineStr">
        <is>
          <t>정리 적용 + 직접 옮김 처리</t>
        </is>
      </c>
      <c r="F53" s="34" t="inlineStr">
        <is>
          <t>P1</t>
        </is>
      </c>
      <c r="G53" s="34" t="inlineStr">
        <is>
          <t>F07-04</t>
        </is>
      </c>
      <c r="H53" s="39" t="inlineStr">
        <is>
          <t>정상</t>
        </is>
      </c>
      <c r="I53" s="34" t="inlineStr">
        <is>
          <t>Ubiquitous</t>
        </is>
      </c>
      <c r="J53" s="31" t="inlineStr">
        <is>
          <t>THE 시스템은 SHALL 정리로 비게 된 기존 폴더를 삭제하지 않는다.</t>
        </is>
      </c>
      <c r="K53" s="39" t="inlineStr">
        <is>
          <t>화면 없음</t>
        </is>
      </c>
      <c r="L53" s="34" t="inlineStr">
        <is>
          <t>#22</t>
        </is>
      </c>
      <c r="M53" s="34" t="inlineStr">
        <is>
          <t>2-12, 3-4</t>
        </is>
      </c>
      <c r="N53" s="28" t="n"/>
    </row>
    <row r="54" ht="57.75" customHeight="1" s="25">
      <c r="A54" s="39" t="inlineStr">
        <is>
          <t>직접 옮김 감지</t>
        </is>
      </c>
      <c r="B54" s="43" t="inlineStr">
        <is>
          <t>팀원 B</t>
        </is>
      </c>
      <c r="C54" s="39" t="inlineStr">
        <is>
          <t>팀원 A</t>
        </is>
      </c>
      <c r="D54" s="34" t="inlineStr">
        <is>
          <t>F07</t>
        </is>
      </c>
      <c r="E54" s="28" t="inlineStr">
        <is>
          <t>정리 적용 + 직접 옮김 처리</t>
        </is>
      </c>
      <c r="F54" s="34" t="inlineStr">
        <is>
          <t>P1</t>
        </is>
      </c>
      <c r="G54" s="34" t="inlineStr">
        <is>
          <t>F07-05</t>
        </is>
      </c>
      <c r="H54" s="39" t="inlineStr">
        <is>
          <t>정상</t>
        </is>
      </c>
      <c r="I54" s="34" t="inlineStr">
        <is>
          <t>Ubiquitous</t>
        </is>
      </c>
      <c r="J54" s="31" t="inlineStr">
        <is>
          <t>THE 시스템은 SHALL 북마크를 옮기기 전에 북마크별 목적지 폴더와 시각을 pendingMoves에 저장하고, 서비스 워커는 1분 안에 일어난 같은 목적지로의 이동을 "직접 옮김"으로 기록하지 않는다.</t>
        </is>
      </c>
      <c r="K54" s="39" t="inlineStr">
        <is>
          <t>화면 없음</t>
        </is>
      </c>
      <c r="L54" s="34" t="inlineStr">
        <is>
          <t>#22</t>
        </is>
      </c>
      <c r="M54" s="34" t="inlineStr">
        <is>
          <t>2-12, 3-4</t>
        </is>
      </c>
      <c r="N54" s="49" t="inlineStr">
        <is>
          <t>수정(v2): 새 탭이 옮긴 직후 표시를 지우면 서비스 워커가 늦게 깨어났을 때 직접 옮김으로 잘못 기록해 되돌리기가 막힘. 표시는 지우지 않고 시간으로 만료</t>
        </is>
      </c>
    </row>
    <row r="55" ht="43.5" customHeight="1" s="25">
      <c r="A55" s="39" t="inlineStr">
        <is>
          <t>직접 옮김 감지</t>
        </is>
      </c>
      <c r="B55" s="43" t="inlineStr">
        <is>
          <t>팀원 B</t>
        </is>
      </c>
      <c r="C55" s="39" t="inlineStr">
        <is>
          <t>팀원 A</t>
        </is>
      </c>
      <c r="D55" s="34" t="inlineStr">
        <is>
          <t>F07</t>
        </is>
      </c>
      <c r="E55" s="28" t="inlineStr">
        <is>
          <t>정리 적용 + 직접 옮김 처리</t>
        </is>
      </c>
      <c r="F55" s="34" t="inlineStr">
        <is>
          <t>P2</t>
        </is>
      </c>
      <c r="G55" s="34" t="inlineStr">
        <is>
          <t>F07-06</t>
        </is>
      </c>
      <c r="H55" s="39" t="inlineStr">
        <is>
          <t>정상</t>
        </is>
      </c>
      <c r="I55" s="34" t="inlineStr">
        <is>
          <t>Event-driven</t>
        </is>
      </c>
      <c r="J55" s="31" t="inlineStr">
        <is>
          <t>WHEN 사용자가 크롬 북마크 관리자나 우리 새 탭(우클릭, 드래그)에서 북마크를 다른 폴더로 옮기면 THE 서비스 워커는 SHALL 새 탭이 닫혀 있어도 그 북마크를 manualMoves에 기록한다.</t>
        </is>
      </c>
      <c r="K55" s="39" t="inlineStr">
        <is>
          <t>화면 없음</t>
        </is>
      </c>
      <c r="L55" s="34" t="inlineStr">
        <is>
          <t>#23</t>
        </is>
      </c>
      <c r="M55" s="34" t="inlineStr">
        <is>
          <t>2-12, 3-4</t>
        </is>
      </c>
      <c r="N55" s="28" t="n"/>
    </row>
    <row r="56" ht="29.25" customHeight="1" s="25">
      <c r="A56" s="39" t="inlineStr">
        <is>
          <t>직접 옮김 감지</t>
        </is>
      </c>
      <c r="B56" s="43" t="inlineStr">
        <is>
          <t>팀원 B</t>
        </is>
      </c>
      <c r="C56" s="39" t="inlineStr">
        <is>
          <t>팀원 C</t>
        </is>
      </c>
      <c r="D56" s="34" t="inlineStr">
        <is>
          <t>F07</t>
        </is>
      </c>
      <c r="E56" s="28" t="inlineStr">
        <is>
          <t>정리 적용 + 직접 옮김 처리</t>
        </is>
      </c>
      <c r="F56" s="34" t="inlineStr">
        <is>
          <t>P2</t>
        </is>
      </c>
      <c r="G56" s="34" t="inlineStr">
        <is>
          <t>F07-07</t>
        </is>
      </c>
      <c r="H56" s="39" t="inlineStr">
        <is>
          <t>정상</t>
        </is>
      </c>
      <c r="I56" s="34" t="inlineStr">
        <is>
          <t>Ubiquitous</t>
        </is>
      </c>
      <c r="J56" s="31" t="inlineStr">
        <is>
          <t>THE 시스템은 SHALL manualMoves에 기록된 북마크를 이후의 정리 대상에서 뺀다.</t>
        </is>
      </c>
      <c r="K56" s="39" t="inlineStr">
        <is>
          <t>화면 없음</t>
        </is>
      </c>
      <c r="L56" s="34" t="inlineStr">
        <is>
          <t>#23</t>
        </is>
      </c>
      <c r="M56" s="34" t="inlineStr">
        <is>
          <t>2-12, 3-4</t>
        </is>
      </c>
      <c r="N56" s="28" t="n"/>
    </row>
    <row r="57" ht="29.25" customHeight="1" s="25">
      <c r="A57" s="39" t="inlineStr">
        <is>
          <t>정리 적용</t>
        </is>
      </c>
      <c r="B57" s="40" t="inlineStr">
        <is>
          <t>팀원 A</t>
        </is>
      </c>
      <c r="C57" s="39" t="n"/>
      <c r="D57" s="34" t="inlineStr">
        <is>
          <t>F07</t>
        </is>
      </c>
      <c r="E57" s="28" t="inlineStr">
        <is>
          <t>정리 적용 + 직접 옮김 처리</t>
        </is>
      </c>
      <c r="F57" s="34" t="inlineStr">
        <is>
          <t>P1</t>
        </is>
      </c>
      <c r="G57" s="34" t="inlineStr">
        <is>
          <t>F07-08</t>
        </is>
      </c>
      <c r="H57" s="47" t="inlineStr">
        <is>
          <t>예외</t>
        </is>
      </c>
      <c r="I57" s="34" t="inlineStr">
        <is>
          <t>Unwanted</t>
        </is>
      </c>
      <c r="J57" s="31" t="inlineStr">
        <is>
          <t>IF 북마크바에 같은 이름의 폴더가 이미 있으면 THEN THE 시스템은 SHALL 새 폴더를 만들지 않고 그 폴더를 쓴다.</t>
        </is>
      </c>
      <c r="K57" s="39" t="inlineStr">
        <is>
          <t>화면 없음</t>
        </is>
      </c>
      <c r="L57" s="34" t="inlineStr">
        <is>
          <t>#22</t>
        </is>
      </c>
      <c r="M57" s="34" t="inlineStr">
        <is>
          <t>2-12, 3-4</t>
        </is>
      </c>
      <c r="N57" s="28" t="n"/>
    </row>
    <row r="58" ht="43.5" customHeight="1" s="25">
      <c r="A58" s="39" t="inlineStr">
        <is>
          <t>정리 적용</t>
        </is>
      </c>
      <c r="B58" s="40" t="inlineStr">
        <is>
          <t>팀원 A</t>
        </is>
      </c>
      <c r="C58" s="39" t="inlineStr">
        <is>
          <t>팀원 D</t>
        </is>
      </c>
      <c r="D58" s="34" t="inlineStr">
        <is>
          <t>F07</t>
        </is>
      </c>
      <c r="E58" s="28" t="inlineStr">
        <is>
          <t>정리 적용 + 직접 옮김 처리</t>
        </is>
      </c>
      <c r="F58" s="34" t="inlineStr">
        <is>
          <t>P1</t>
        </is>
      </c>
      <c r="G58" s="34" t="inlineStr">
        <is>
          <t>F07-09</t>
        </is>
      </c>
      <c r="H58" s="47" t="inlineStr">
        <is>
          <t>예외</t>
        </is>
      </c>
      <c r="I58" s="34" t="inlineStr">
        <is>
          <t>Unwanted</t>
        </is>
      </c>
      <c r="J58" s="31" t="inlineStr">
        <is>
          <t>IF 옮기는 도중 북마크가 이미 삭제돼 이동에 실패하면 THEN THE 시스템은 SHALL 그 북마크를 건너뛰고, 옮긴 것만 history에 저장하며, 건너뛴 개수를 결과 안내에 표시한다.</t>
        </is>
      </c>
      <c r="K58" s="39" t="inlineStr">
        <is>
          <t>새 탭 메인</t>
        </is>
      </c>
      <c r="L58" s="34" t="inlineStr">
        <is>
          <t>#22</t>
        </is>
      </c>
      <c r="M58" s="34" t="inlineStr">
        <is>
          <t>2-12, 3-4</t>
        </is>
      </c>
      <c r="N58" s="48" t="inlineStr">
        <is>
          <t>제안: 실패 처리</t>
        </is>
      </c>
    </row>
    <row r="59" ht="29.25" customHeight="1" s="25">
      <c r="A59" s="39" t="inlineStr">
        <is>
          <t>고정(독)</t>
        </is>
      </c>
      <c r="B59" s="40" t="inlineStr">
        <is>
          <t>팀원 A</t>
        </is>
      </c>
      <c r="C59" s="39" t="inlineStr">
        <is>
          <t>팀원 D</t>
        </is>
      </c>
      <c r="D59" s="34" t="inlineStr">
        <is>
          <t>F08</t>
        </is>
      </c>
      <c r="E59" s="28" t="inlineStr">
        <is>
          <t>고정됨 (독)</t>
        </is>
      </c>
      <c r="F59" s="34" t="inlineStr">
        <is>
          <t>P2</t>
        </is>
      </c>
      <c r="G59" s="34" t="inlineStr">
        <is>
          <t>F08-01</t>
        </is>
      </c>
      <c r="H59" s="39" t="inlineStr">
        <is>
          <t>정상</t>
        </is>
      </c>
      <c r="I59" s="34" t="inlineStr">
        <is>
          <t>Event-driven</t>
        </is>
      </c>
      <c r="J59" s="31" t="inlineStr">
        <is>
          <t>WHEN 사용자가 앱에서 [고정하기]를 누르면 THE 시스템은 SHALL 그 북마크 ID를 pinned에 추가하고 화면 아래의 고정됨(독)에 표시한다.</t>
        </is>
      </c>
      <c r="K59" s="39" t="inlineStr">
        <is>
          <t>새 탭 메인</t>
        </is>
      </c>
      <c r="L59" s="34" t="inlineStr">
        <is>
          <t>#23</t>
        </is>
      </c>
      <c r="M59" s="34" t="inlineStr">
        <is>
          <t>3-5</t>
        </is>
      </c>
      <c r="N59" s="49" t="inlineStr">
        <is>
          <t>확정(v5): 최대 8개 (F08-06)</t>
        </is>
      </c>
    </row>
    <row r="60" ht="29.25" customHeight="1" s="25">
      <c r="A60" s="39" t="inlineStr">
        <is>
          <t>고정(독)</t>
        </is>
      </c>
      <c r="B60" s="40" t="inlineStr">
        <is>
          <t>팀원 A</t>
        </is>
      </c>
      <c r="C60" s="39" t="inlineStr">
        <is>
          <t>팀원 D</t>
        </is>
      </c>
      <c r="D60" s="34" t="inlineStr">
        <is>
          <t>F08</t>
        </is>
      </c>
      <c r="E60" s="28" t="inlineStr">
        <is>
          <t>고정됨 (독)</t>
        </is>
      </c>
      <c r="F60" s="34" t="inlineStr">
        <is>
          <t>P2</t>
        </is>
      </c>
      <c r="G60" s="34" t="inlineStr">
        <is>
          <t>F08-02</t>
        </is>
      </c>
      <c r="H60" s="39" t="inlineStr">
        <is>
          <t>정상</t>
        </is>
      </c>
      <c r="I60" s="34" t="inlineStr">
        <is>
          <t>Ubiquitous</t>
        </is>
      </c>
      <c r="J60" s="31" t="inlineStr">
        <is>
          <t>THE 새 탭 화면은 SHALL 새 탭을 다시 열어도 pinned에 저장된 순서대로 독을 표시한다.</t>
        </is>
      </c>
      <c r="K60" s="39" t="inlineStr">
        <is>
          <t>새 탭 메인</t>
        </is>
      </c>
      <c r="L60" s="34" t="inlineStr">
        <is>
          <t>#23</t>
        </is>
      </c>
      <c r="M60" s="34" t="inlineStr">
        <is>
          <t>3-5</t>
        </is>
      </c>
      <c r="N60" s="28" t="n"/>
    </row>
    <row r="61" ht="15.75" customHeight="1" s="25">
      <c r="A61" s="39" t="inlineStr">
        <is>
          <t>고정(독)</t>
        </is>
      </c>
      <c r="B61" s="40" t="inlineStr">
        <is>
          <t>팀원 A</t>
        </is>
      </c>
      <c r="C61" s="39" t="n"/>
      <c r="D61" s="34" t="inlineStr">
        <is>
          <t>F08</t>
        </is>
      </c>
      <c r="E61" s="28" t="inlineStr">
        <is>
          <t>고정됨 (독)</t>
        </is>
      </c>
      <c r="F61" s="34" t="inlineStr">
        <is>
          <t>P2</t>
        </is>
      </c>
      <c r="G61" s="34" t="inlineStr">
        <is>
          <t>F08-03</t>
        </is>
      </c>
      <c r="H61" s="39" t="inlineStr">
        <is>
          <t>정상</t>
        </is>
      </c>
      <c r="I61" s="34" t="inlineStr">
        <is>
          <t>Ubiquitous</t>
        </is>
      </c>
      <c r="J61" s="31" t="inlineStr">
        <is>
          <t>THE 시스템은 SHALL 고정할 때 크롬 북마크의 위치를 바꾸지 않는다.</t>
        </is>
      </c>
      <c r="K61" s="39" t="inlineStr">
        <is>
          <t>화면 없음</t>
        </is>
      </c>
      <c r="L61" s="34" t="inlineStr">
        <is>
          <t>#23</t>
        </is>
      </c>
      <c r="M61" s="34" t="inlineStr">
        <is>
          <t>3-5</t>
        </is>
      </c>
      <c r="N61" s="28" t="n"/>
    </row>
    <row r="62" ht="29.25" customHeight="1" s="25">
      <c r="A62" s="39" t="inlineStr">
        <is>
          <t>고정(독)</t>
        </is>
      </c>
      <c r="B62" s="40" t="inlineStr">
        <is>
          <t>팀원 A</t>
        </is>
      </c>
      <c r="C62" s="39" t="inlineStr">
        <is>
          <t>팀원 D</t>
        </is>
      </c>
      <c r="D62" s="34" t="inlineStr">
        <is>
          <t>F08</t>
        </is>
      </c>
      <c r="E62" s="28" t="inlineStr">
        <is>
          <t>고정됨 (독)</t>
        </is>
      </c>
      <c r="F62" s="34" t="inlineStr">
        <is>
          <t>P2</t>
        </is>
      </c>
      <c r="G62" s="34" t="inlineStr">
        <is>
          <t>F08-04</t>
        </is>
      </c>
      <c r="H62" s="39" t="inlineStr">
        <is>
          <t>정상</t>
        </is>
      </c>
      <c r="I62" s="34" t="inlineStr">
        <is>
          <t>Event-driven</t>
        </is>
      </c>
      <c r="J62" s="31" t="inlineStr">
        <is>
          <t>WHEN 사용자가 독의 앱에서 [고정 해제]를 누르면 THE 시스템은 SHALL 그 북마크 ID를 pinned에서 지우고 독에서 뺀다.</t>
        </is>
      </c>
      <c r="K62" s="39" t="inlineStr">
        <is>
          <t>새 탭 메인</t>
        </is>
      </c>
      <c r="L62" s="34" t="inlineStr">
        <is>
          <t>#23</t>
        </is>
      </c>
      <c r="M62" s="34" t="inlineStr">
        <is>
          <t>3-5</t>
        </is>
      </c>
      <c r="N62" s="49" t="inlineStr">
        <is>
          <t>확정(v9): 고정된 앱에 마우스를 올리면 나타나는 x 버튼으로 해제</t>
        </is>
      </c>
    </row>
    <row r="63" ht="29.25" customHeight="1" s="25">
      <c r="A63" s="39" t="inlineStr">
        <is>
          <t>고정(독)</t>
        </is>
      </c>
      <c r="B63" s="40" t="inlineStr">
        <is>
          <t>팀원 A</t>
        </is>
      </c>
      <c r="C63" s="39" t="inlineStr">
        <is>
          <t>팀원 D</t>
        </is>
      </c>
      <c r="D63" s="34" t="inlineStr">
        <is>
          <t>F08</t>
        </is>
      </c>
      <c r="E63" s="28" t="inlineStr">
        <is>
          <t>고정됨 (독)</t>
        </is>
      </c>
      <c r="F63" s="34" t="inlineStr">
        <is>
          <t>P2</t>
        </is>
      </c>
      <c r="G63" s="34" t="inlineStr">
        <is>
          <t>F08-05</t>
        </is>
      </c>
      <c r="H63" s="47" t="inlineStr">
        <is>
          <t>예외</t>
        </is>
      </c>
      <c r="I63" s="34" t="inlineStr">
        <is>
          <t>Unwanted</t>
        </is>
      </c>
      <c r="J63" s="31" t="inlineStr">
        <is>
          <t>IF 고정된 북마크가 크롬에서 삭제되면 THEN THE 새 탭 화면은 SHALL 그 앱을 독에서 뺀다.</t>
        </is>
      </c>
      <c r="K63" s="39" t="inlineStr">
        <is>
          <t>새 탭 메인</t>
        </is>
      </c>
      <c r="L63" s="34" t="inlineStr">
        <is>
          <t>#23</t>
        </is>
      </c>
      <c r="M63" s="34" t="inlineStr">
        <is>
          <t>3-5</t>
        </is>
      </c>
      <c r="N63" s="28" t="n"/>
    </row>
    <row r="64" ht="29.25" customHeight="1" s="25">
      <c r="A64" s="39" t="inlineStr">
        <is>
          <t>고정(독)</t>
        </is>
      </c>
      <c r="B64" s="40" t="inlineStr">
        <is>
          <t>팀원 A</t>
        </is>
      </c>
      <c r="C64" s="39" t="inlineStr">
        <is>
          <t>팀원 D</t>
        </is>
      </c>
      <c r="D64" s="34" t="inlineStr">
        <is>
          <t>F08</t>
        </is>
      </c>
      <c r="E64" s="28" t="inlineStr">
        <is>
          <t>고정됨 (독)</t>
        </is>
      </c>
      <c r="F64" s="34" t="inlineStr">
        <is>
          <t>P2</t>
        </is>
      </c>
      <c r="G64" s="34" t="inlineStr">
        <is>
          <t>F08-06</t>
        </is>
      </c>
      <c r="H64" s="47" t="inlineStr">
        <is>
          <t>예외</t>
        </is>
      </c>
      <c r="I64" s="34" t="inlineStr">
        <is>
          <t>Unwanted</t>
        </is>
      </c>
      <c r="J64" s="31" t="inlineStr">
        <is>
          <t>IF 독에 이미 8개가 고정돼 있으면 THEN THE 시스템은 SHALL 더 고정하지 않고 "고정은 8개까지 할 수 있어요"를 표시한다.</t>
        </is>
      </c>
      <c r="K64" s="39" t="inlineStr">
        <is>
          <t>새 탭 메인</t>
        </is>
      </c>
      <c r="L64" s="34" t="inlineStr">
        <is>
          <t>#23</t>
        </is>
      </c>
      <c r="M64" s="34" t="inlineStr">
        <is>
          <t>3-5</t>
        </is>
      </c>
      <c r="N64" s="49" t="inlineStr">
        <is>
          <t>추가(v5) · 실행 확인</t>
        </is>
      </c>
    </row>
    <row r="65" ht="43.5" customHeight="1" s="25">
      <c r="A65" s="39" t="inlineStr">
        <is>
          <t>고정 제안</t>
        </is>
      </c>
      <c r="B65" s="42" t="inlineStr">
        <is>
          <t>팀원 C</t>
        </is>
      </c>
      <c r="C65" s="39" t="inlineStr">
        <is>
          <t>팀원 D</t>
        </is>
      </c>
      <c r="D65" s="34" t="inlineStr">
        <is>
          <t>F09</t>
        </is>
      </c>
      <c r="E65" s="28" t="inlineStr">
        <is>
          <t>폴더를 못 만들 때 고정 제안</t>
        </is>
      </c>
      <c r="F65" s="34" t="inlineStr">
        <is>
          <t>P2</t>
        </is>
      </c>
      <c r="G65" s="34" t="inlineStr">
        <is>
          <t>F09-01</t>
        </is>
      </c>
      <c r="H65" s="39" t="inlineStr">
        <is>
          <t>정상</t>
        </is>
      </c>
      <c r="I65" s="34" t="inlineStr">
        <is>
          <t>Event-driven</t>
        </is>
      </c>
      <c r="J65" s="31" t="inlineStr">
        <is>
          <t>WHEN 고정 제안이 돌아온 상태에서 사용자가 처음 새 탭을 열면 THE 새 탭 화면은 SHALL "북마크들이 서로 달라서 아직 묶을 폴더가 없어요. 대신 자주 쓰는 북마크 5개를 고정할까요?"와 [고정하기]·[고르기]·[나중에] 버튼을 표시한다.</t>
        </is>
      </c>
      <c r="K65" s="39" t="inlineStr">
        <is>
          <t>새 탭 메인</t>
        </is>
      </c>
      <c r="L65" s="34" t="inlineStr">
        <is>
          <t>#23</t>
        </is>
      </c>
      <c r="M65" s="34" t="inlineStr">
        <is>
          <t>2-9, 3-5</t>
        </is>
      </c>
      <c r="N65" s="28" t="n"/>
    </row>
    <row r="66" ht="43.5" customHeight="1" s="25">
      <c r="A66" s="39" t="inlineStr">
        <is>
          <t>고정 제안</t>
        </is>
      </c>
      <c r="B66" s="42" t="inlineStr">
        <is>
          <t>팀원 C</t>
        </is>
      </c>
      <c r="C66" s="39" t="inlineStr">
        <is>
          <t>팀원 D</t>
        </is>
      </c>
      <c r="D66" s="34" t="inlineStr">
        <is>
          <t>F09</t>
        </is>
      </c>
      <c r="E66" s="28" t="inlineStr">
        <is>
          <t>폴더를 못 만들 때 고정 제안</t>
        </is>
      </c>
      <c r="F66" s="34" t="inlineStr">
        <is>
          <t>P2</t>
        </is>
      </c>
      <c r="G66" s="34" t="inlineStr">
        <is>
          <t>F09-02</t>
        </is>
      </c>
      <c r="H66" s="39" t="inlineStr">
        <is>
          <t>정상</t>
        </is>
      </c>
      <c r="I66" s="34" t="inlineStr">
        <is>
          <t>Event-driven</t>
        </is>
      </c>
      <c r="J66" s="31" t="inlineStr">
        <is>
          <t>WHEN 사용자가 [고정하기]를 누르면 THE 시스템은 SHALL 그때에만 topSites 권한 허락을 요청한다.</t>
        </is>
      </c>
      <c r="K66" s="39" t="inlineStr">
        <is>
          <t>새 탭 메인</t>
        </is>
      </c>
      <c r="L66" s="34" t="inlineStr">
        <is>
          <t>#23</t>
        </is>
      </c>
      <c r="M66" s="34" t="inlineStr">
        <is>
          <t>2-9, 3-5</t>
        </is>
      </c>
      <c r="N66" s="49" t="inlineStr">
        <is>
          <t>실행 확인(v4): 크롬이 "가장 자주 방문하는 웹사이트 목록 읽기" 창을 띄움. 허락하면 새로고침 없이 바로 목록을 읽을 수 있음</t>
        </is>
      </c>
    </row>
    <row r="67" ht="43.5" customHeight="1" s="25">
      <c r="A67" s="39" t="inlineStr">
        <is>
          <t>고정 제안</t>
        </is>
      </c>
      <c r="B67" s="42" t="inlineStr">
        <is>
          <t>팀원 C</t>
        </is>
      </c>
      <c r="C67" s="39" t="inlineStr">
        <is>
          <t>팀원 A, 팀원 D</t>
        </is>
      </c>
      <c r="D67" s="34" t="inlineStr">
        <is>
          <t>F09</t>
        </is>
      </c>
      <c r="E67" s="28" t="inlineStr">
        <is>
          <t>폴더를 못 만들 때 고정 제안</t>
        </is>
      </c>
      <c r="F67" s="34" t="inlineStr">
        <is>
          <t>P2</t>
        </is>
      </c>
      <c r="G67" s="34" t="inlineStr">
        <is>
          <t>F09-03</t>
        </is>
      </c>
      <c r="H67" s="39" t="inlineStr">
        <is>
          <t>정상</t>
        </is>
      </c>
      <c r="I67" s="34" t="inlineStr">
        <is>
          <t>Event-driven</t>
        </is>
      </c>
      <c r="J67" s="31" t="inlineStr">
        <is>
          <t>WHEN 사용자가 권한을 허락하면 THE 시스템은 SHALL 자주 방문한 사이트와 같은 사이트(호스트 이름 일치)인 북마크를 목록 순서대로 고르고, 5개가 안 되면 최근에 연 순으로 채워 최대 5개를 고정한다.</t>
        </is>
      </c>
      <c r="K67" s="39" t="inlineStr">
        <is>
          <t>새 탭 메인</t>
        </is>
      </c>
      <c r="L67" s="34" t="inlineStr">
        <is>
          <t>#23</t>
        </is>
      </c>
      <c r="M67" s="34" t="inlineStr">
        <is>
          <t>2-9, 3-5</t>
        </is>
      </c>
      <c r="N67" s="48" t="inlineStr">
        <is>
          <t>제안: '같은 사이트'를 호스트 이름 일치로 정의 (앞의 www.는 떼고 비교)</t>
        </is>
      </c>
    </row>
    <row r="68" ht="29.25" customHeight="1" s="25">
      <c r="A68" s="39" t="inlineStr">
        <is>
          <t>고정 제안</t>
        </is>
      </c>
      <c r="B68" s="42" t="inlineStr">
        <is>
          <t>팀원 C</t>
        </is>
      </c>
      <c r="C68" s="39" t="n"/>
      <c r="D68" s="34" t="inlineStr">
        <is>
          <t>F09</t>
        </is>
      </c>
      <c r="E68" s="28" t="inlineStr">
        <is>
          <t>폴더를 못 만들 때 고정 제안</t>
        </is>
      </c>
      <c r="F68" s="34" t="inlineStr">
        <is>
          <t>P2</t>
        </is>
      </c>
      <c r="G68" s="34" t="inlineStr">
        <is>
          <t>F09-04</t>
        </is>
      </c>
      <c r="H68" s="39" t="inlineStr">
        <is>
          <t>정상</t>
        </is>
      </c>
      <c r="I68" s="34" t="inlineStr">
        <is>
          <t>Ubiquitous</t>
        </is>
      </c>
      <c r="J68" s="31" t="inlineStr">
        <is>
          <t>THE 시스템은 SHALL 자주 방문한 사이트 목록을 저장하거나 외부로 전송하지 않는다.</t>
        </is>
      </c>
      <c r="K68" s="39" t="inlineStr">
        <is>
          <t>화면 없음</t>
        </is>
      </c>
      <c r="L68" s="34" t="inlineStr">
        <is>
          <t>#23</t>
        </is>
      </c>
      <c r="M68" s="34" t="inlineStr">
        <is>
          <t>2-9, 3-5</t>
        </is>
      </c>
      <c r="N68" s="28" t="n"/>
    </row>
    <row r="69" ht="29.25" customHeight="1" s="25">
      <c r="A69" s="39" t="inlineStr">
        <is>
          <t>고정 제안</t>
        </is>
      </c>
      <c r="B69" s="42" t="inlineStr">
        <is>
          <t>팀원 C</t>
        </is>
      </c>
      <c r="C69" s="39" t="inlineStr">
        <is>
          <t>팀원 D</t>
        </is>
      </c>
      <c r="D69" s="34" t="inlineStr">
        <is>
          <t>F09</t>
        </is>
      </c>
      <c r="E69" s="28" t="inlineStr">
        <is>
          <t>폴더를 못 만들 때 고정 제안</t>
        </is>
      </c>
      <c r="F69" s="34" t="inlineStr">
        <is>
          <t>P2</t>
        </is>
      </c>
      <c r="G69" s="34" t="inlineStr">
        <is>
          <t>F09-05</t>
        </is>
      </c>
      <c r="H69" s="39" t="inlineStr">
        <is>
          <t>정상</t>
        </is>
      </c>
      <c r="I69" s="34" t="inlineStr">
        <is>
          <t>Event-driven</t>
        </is>
      </c>
      <c r="J69" s="31" t="inlineStr">
        <is>
          <t>WHEN 사용자가 [고르기]를 누르면 THE 새 탭 화면은 SHALL 북마크 목록을 표시하고, 사용자가 고른 북마크(최대 5개)를 고정한다.</t>
        </is>
      </c>
      <c r="K69" s="39" t="inlineStr">
        <is>
          <t>새 탭 메인</t>
        </is>
      </c>
      <c r="L69" s="34" t="inlineStr">
        <is>
          <t>#23</t>
        </is>
      </c>
      <c r="M69" s="34" t="inlineStr">
        <is>
          <t>2-9, 3-5</t>
        </is>
      </c>
      <c r="N69" s="48" t="inlineStr">
        <is>
          <t>제안: 고르기의 최대 개수</t>
        </is>
      </c>
    </row>
    <row r="70" ht="57.75" customHeight="1" s="25">
      <c r="A70" s="39" t="inlineStr">
        <is>
          <t>고정 제안</t>
        </is>
      </c>
      <c r="B70" s="42" t="inlineStr">
        <is>
          <t>팀원 C</t>
        </is>
      </c>
      <c r="C70" s="39" t="inlineStr">
        <is>
          <t>팀원 D</t>
        </is>
      </c>
      <c r="D70" s="34" t="inlineStr">
        <is>
          <t>F09</t>
        </is>
      </c>
      <c r="E70" s="28" t="inlineStr">
        <is>
          <t>폴더를 못 만들 때 고정 제안</t>
        </is>
      </c>
      <c r="F70" s="34" t="inlineStr">
        <is>
          <t>P2</t>
        </is>
      </c>
      <c r="G70" s="34" t="inlineStr">
        <is>
          <t>F09-06</t>
        </is>
      </c>
      <c r="H70" s="39" t="inlineStr">
        <is>
          <t>정상</t>
        </is>
      </c>
      <c r="I70" s="34" t="inlineStr">
        <is>
          <t>Event-driven</t>
        </is>
      </c>
      <c r="J70" s="31" t="inlineStr">
        <is>
          <t>WHEN 사용자가 고정됨의 [+]를 누르면 THE 새 탭 화면은 SHALL "고정할 북마크 고르기" 창(F09-05의 [고르기]와 같은 창)을 열어 폴더 안의 북마크까지 고르게 하고, 고정이 8개가 되면 [+]를 숨긴다.</t>
        </is>
      </c>
      <c r="K70" s="39" t="inlineStr">
        <is>
          <t>새 탭 메인</t>
        </is>
      </c>
      <c r="L70" s="34" t="inlineStr">
        <is>
          <t>#23</t>
        </is>
      </c>
      <c r="M70" s="34" t="inlineStr">
        <is>
          <t>2-9, 3-5</t>
        </is>
      </c>
      <c r="N70" s="49" t="inlineStr">
        <is>
          <t>수정(v9): 북마크바가 기본 정리 대상이 되어 "북마크바에 N개가 있어요. 함께 정리할까요?" 요구사항은 삭제하고, 이 줄을 확정 시안의 [+] 버튼 동작으로 바꿈</t>
        </is>
      </c>
    </row>
    <row r="71" ht="29.25" customHeight="1" s="25">
      <c r="A71" s="39" t="inlineStr">
        <is>
          <t>고정 제안</t>
        </is>
      </c>
      <c r="B71" s="42" t="inlineStr">
        <is>
          <t>팀원 C</t>
        </is>
      </c>
      <c r="C71" s="39" t="inlineStr">
        <is>
          <t>팀원 D</t>
        </is>
      </c>
      <c r="D71" s="34" t="inlineStr">
        <is>
          <t>F09</t>
        </is>
      </c>
      <c r="E71" s="28" t="inlineStr">
        <is>
          <t>폴더를 못 만들 때 고정 제안</t>
        </is>
      </c>
      <c r="F71" s="34" t="inlineStr">
        <is>
          <t>P2</t>
        </is>
      </c>
      <c r="G71" s="34" t="inlineStr">
        <is>
          <t>F09-07</t>
        </is>
      </c>
      <c r="H71" s="39" t="inlineStr">
        <is>
          <t>정상</t>
        </is>
      </c>
      <c r="I71" s="34" t="inlineStr">
        <is>
          <t>Event-driven</t>
        </is>
      </c>
      <c r="J71" s="31" t="inlineStr">
        <is>
          <t>WHEN 북마크가 늘어 폴더 계획을 세울 수 있게 되면 THE 새 탭 화면은 SHALL 헤더의 [정리하기] 버튼에서 첫 정리 카드를 제안한다.</t>
        </is>
      </c>
      <c r="K71" s="39" t="inlineStr">
        <is>
          <t>새 탭 메인</t>
        </is>
      </c>
      <c r="L71" s="34" t="inlineStr">
        <is>
          <t>#23</t>
        </is>
      </c>
      <c r="M71" s="34" t="inlineStr">
        <is>
          <t>2-9, 3-5</t>
        </is>
      </c>
      <c r="N71" s="48" t="inlineStr">
        <is>
          <t>제안: 제안 위치</t>
        </is>
      </c>
    </row>
    <row r="72" ht="29.25" customHeight="1" s="25">
      <c r="A72" s="39" t="inlineStr">
        <is>
          <t>고정 제안</t>
        </is>
      </c>
      <c r="B72" s="42" t="inlineStr">
        <is>
          <t>팀원 C</t>
        </is>
      </c>
      <c r="C72" s="39" t="inlineStr">
        <is>
          <t>팀원 D</t>
        </is>
      </c>
      <c r="D72" s="34" t="inlineStr">
        <is>
          <t>F09</t>
        </is>
      </c>
      <c r="E72" s="28" t="inlineStr">
        <is>
          <t>폴더를 못 만들 때 고정 제안</t>
        </is>
      </c>
      <c r="F72" s="34" t="inlineStr">
        <is>
          <t>P2</t>
        </is>
      </c>
      <c r="G72" s="34" t="inlineStr">
        <is>
          <t>F09-08</t>
        </is>
      </c>
      <c r="H72" s="47" t="inlineStr">
        <is>
          <t>예외</t>
        </is>
      </c>
      <c r="I72" s="34" t="inlineStr">
        <is>
          <t>Unwanted</t>
        </is>
      </c>
      <c r="J72" s="31" t="inlineStr">
        <is>
          <t>IF 사용자가 권한을 거절하거나 자주 방문한 사이트 목록이 비어 있으면 THEN THE 시스템은 SHALL 최근에 연 순으로만 최대 5개를 골라 고정한다.</t>
        </is>
      </c>
      <c r="K72" s="39" t="inlineStr">
        <is>
          <t>새 탭 메인</t>
        </is>
      </c>
      <c r="L72" s="34" t="inlineStr">
        <is>
          <t>#23</t>
        </is>
      </c>
      <c r="M72" s="34" t="inlineStr">
        <is>
          <t>2-9, 3-5</t>
        </is>
      </c>
      <c r="N72" s="49" t="inlineStr">
        <is>
          <t>실행 확인(v4): 거절하면 false가 돌아오고 chrome.topSites는 없는 상태로 남음</t>
        </is>
      </c>
    </row>
    <row r="73" ht="43.5" customHeight="1" s="25">
      <c r="A73" s="39" t="inlineStr">
        <is>
          <t>고정 제안</t>
        </is>
      </c>
      <c r="B73" s="42" t="inlineStr">
        <is>
          <t>팀원 C</t>
        </is>
      </c>
      <c r="C73" s="39" t="inlineStr">
        <is>
          <t>팀원 D</t>
        </is>
      </c>
      <c r="D73" s="34" t="inlineStr">
        <is>
          <t>F09</t>
        </is>
      </c>
      <c r="E73" s="28" t="inlineStr">
        <is>
          <t>폴더를 못 만들 때 고정 제안</t>
        </is>
      </c>
      <c r="F73" s="34" t="inlineStr">
        <is>
          <t>P2</t>
        </is>
      </c>
      <c r="G73" s="34" t="inlineStr">
        <is>
          <t>F09-09</t>
        </is>
      </c>
      <c r="H73" s="47" t="inlineStr">
        <is>
          <t>예외</t>
        </is>
      </c>
      <c r="I73" s="34" t="inlineStr">
        <is>
          <t>Unwanted</t>
        </is>
      </c>
      <c r="J73" s="31" t="inlineStr">
        <is>
          <t>IF 고를 수 있는 북마크가 하나도 없으면(자주 방문한 사이트와 겹치지 않고, 연 적 있는 북마크도 없음) THEN THE 시스템은 SHALL 아무것도 고정하지 않고 [고르기] 화면을 연다.</t>
        </is>
      </c>
      <c r="K73" s="39" t="inlineStr">
        <is>
          <t>새 탭 메인</t>
        </is>
      </c>
      <c r="L73" s="34" t="inlineStr">
        <is>
          <t>#23</t>
        </is>
      </c>
      <c r="M73" s="34" t="inlineStr">
        <is>
          <t>2-9, 3-5</t>
        </is>
      </c>
      <c r="N73" s="49" t="inlineStr">
        <is>
          <t>추가(v4): 프로토타입에서 설치 직후에는 후보가 0개인 경우가 실제로 나옴</t>
        </is>
      </c>
    </row>
    <row r="74" ht="57.75" customHeight="1" s="25">
      <c r="A74" s="39" t="inlineStr">
        <is>
          <t>새 북마크 정리</t>
        </is>
      </c>
      <c r="B74" s="43" t="inlineStr">
        <is>
          <t>팀원 B</t>
        </is>
      </c>
      <c r="C74" s="39" t="inlineStr">
        <is>
          <t>팀원 D</t>
        </is>
      </c>
      <c r="D74" s="34" t="inlineStr">
        <is>
          <t>F10</t>
        </is>
      </c>
      <c r="E74" s="28" t="inlineStr">
        <is>
          <t>새 북마크 정리 ([정리하기])</t>
        </is>
      </c>
      <c r="F74" s="34" t="inlineStr">
        <is>
          <t>P2</t>
        </is>
      </c>
      <c r="G74" s="34" t="inlineStr">
        <is>
          <t>F10-01</t>
        </is>
      </c>
      <c r="H74" s="39" t="inlineStr">
        <is>
          <t>정상</t>
        </is>
      </c>
      <c r="I74" s="34" t="inlineStr">
        <is>
          <t>Event-driven</t>
        </is>
      </c>
      <c r="J74" s="31" t="inlineStr">
        <is>
          <t>WHEN 북마크가 북마크바·기타 북마크·모바일 북마크 바로 아래(폴더 밖)에 새로 저장되면 THE 서비스 워커는 SHALL 그 북마크 ID를 newBookmarks에 추가하고, 새 탭 화면은 그 앱을 "새로" 표시와 함께 표시한다.</t>
        </is>
      </c>
      <c r="K74" s="39" t="inlineStr">
        <is>
          <t>새 탭 메인</t>
        </is>
      </c>
      <c r="L74" s="34" t="inlineStr">
        <is>
          <t>#23</t>
        </is>
      </c>
      <c r="M74" s="34" t="inlineStr">
        <is>
          <t>2-11, 3-6</t>
        </is>
      </c>
      <c r="N74" s="49" t="inlineStr">
        <is>
          <t>수정(v2) · 실행 확인(v4): 새 프로필에서 별 버튼(Ctrl+D)의 기본 저장 위치는 북마크바였고, 저장 창이 열리는 순간 이미 저장됨</t>
        </is>
      </c>
    </row>
    <row r="75" ht="29.25" customHeight="1" s="25">
      <c r="A75" s="39" t="inlineStr">
        <is>
          <t>새 북마크 정리</t>
        </is>
      </c>
      <c r="B75" s="43" t="inlineStr">
        <is>
          <t>팀원 B</t>
        </is>
      </c>
      <c r="C75" s="39" t="inlineStr">
        <is>
          <t>팀원 D</t>
        </is>
      </c>
      <c r="D75" s="34" t="inlineStr">
        <is>
          <t>F10</t>
        </is>
      </c>
      <c r="E75" s="28" t="inlineStr">
        <is>
          <t>새 북마크 정리 ([정리하기])</t>
        </is>
      </c>
      <c r="F75" s="34" t="inlineStr">
        <is>
          <t>P2</t>
        </is>
      </c>
      <c r="G75" s="34" t="inlineStr">
        <is>
          <t>F10-02</t>
        </is>
      </c>
      <c r="H75" s="39" t="inlineStr">
        <is>
          <t>정상</t>
        </is>
      </c>
      <c r="I75" s="34" t="inlineStr">
        <is>
          <t>State-driven</t>
        </is>
      </c>
      <c r="J75" s="31" t="inlineStr">
        <is>
          <t>WHILE newBookmarks에 북마크가 1개 이상 있는 동안 THE 새 탭 화면은 SHALL 헤더에 [정리하기 · N] 버튼을 개수와 함께 표시한다.</t>
        </is>
      </c>
      <c r="K75" s="39" t="inlineStr">
        <is>
          <t>새 탭 메인</t>
        </is>
      </c>
      <c r="L75" s="34" t="inlineStr">
        <is>
          <t>#23</t>
        </is>
      </c>
      <c r="M75" s="34" t="inlineStr">
        <is>
          <t>2-11, 3-6</t>
        </is>
      </c>
      <c r="N75" s="28" t="n"/>
    </row>
    <row r="76" ht="29.25" customHeight="1" s="25">
      <c r="A76" s="39" t="inlineStr">
        <is>
          <t>새 북마크 정리</t>
        </is>
      </c>
      <c r="B76" s="43" t="inlineStr">
        <is>
          <t>팀원 B</t>
        </is>
      </c>
      <c r="C76" s="39" t="n"/>
      <c r="D76" s="34" t="inlineStr">
        <is>
          <t>F10</t>
        </is>
      </c>
      <c r="E76" s="28" t="inlineStr">
        <is>
          <t>새 북마크 정리 ([정리하기])</t>
        </is>
      </c>
      <c r="F76" s="34" t="inlineStr">
        <is>
          <t>P2</t>
        </is>
      </c>
      <c r="G76" s="34" t="inlineStr">
        <is>
          <t>F10-03</t>
        </is>
      </c>
      <c r="H76" s="39" t="inlineStr">
        <is>
          <t>정상</t>
        </is>
      </c>
      <c r="I76" s="34" t="inlineStr">
        <is>
          <t>Ubiquitous</t>
        </is>
      </c>
      <c r="J76" s="31" t="inlineStr">
        <is>
          <t>THE 시스템은 SHALL 새 북마크가 생겨도 팝업이나 시스템 알림을 띄우지 않는다.</t>
        </is>
      </c>
      <c r="K76" s="39" t="inlineStr">
        <is>
          <t>화면 없음</t>
        </is>
      </c>
      <c r="L76" s="34" t="inlineStr">
        <is>
          <t>#23</t>
        </is>
      </c>
      <c r="M76" s="34" t="inlineStr">
        <is>
          <t>2-11, 3-6</t>
        </is>
      </c>
      <c r="N76" s="28" t="n"/>
    </row>
    <row r="77" ht="29.25" customHeight="1" s="25">
      <c r="A77" s="39" t="inlineStr">
        <is>
          <t>새 북마크 정리</t>
        </is>
      </c>
      <c r="B77" s="43" t="inlineStr">
        <is>
          <t>팀원 B</t>
        </is>
      </c>
      <c r="C77" s="39" t="inlineStr">
        <is>
          <t>팀원 D</t>
        </is>
      </c>
      <c r="D77" s="34" t="inlineStr">
        <is>
          <t>F10</t>
        </is>
      </c>
      <c r="E77" s="28" t="inlineStr">
        <is>
          <t>새 북마크 정리 ([정리하기])</t>
        </is>
      </c>
      <c r="F77" s="34" t="inlineStr">
        <is>
          <t>P2</t>
        </is>
      </c>
      <c r="G77" s="34" t="inlineStr">
        <is>
          <t>F10-04</t>
        </is>
      </c>
      <c r="H77" s="39" t="inlineStr">
        <is>
          <t>정상</t>
        </is>
      </c>
      <c r="I77" s="34" t="inlineStr">
        <is>
          <t>Event-driven</t>
        </is>
      </c>
      <c r="J77" s="31" t="inlineStr">
        <is>
          <t>WHEN 사용자가 [정리하기 · N]을 누르면 THE 정리 창은 SHALL 새 북마크마다 추천 폴더가 미리 선택된 목록을 표시한다.</t>
        </is>
      </c>
      <c r="K77" s="39" t="inlineStr">
        <is>
          <t>정리 창</t>
        </is>
      </c>
      <c r="L77" s="34" t="inlineStr">
        <is>
          <t>#23</t>
        </is>
      </c>
      <c r="M77" s="34" t="inlineStr">
        <is>
          <t>2-11, 3-6</t>
        </is>
      </c>
      <c r="N77" s="28" t="n"/>
    </row>
    <row r="78" ht="72" customHeight="1" s="25">
      <c r="A78" s="39" t="inlineStr">
        <is>
          <t>새 북마크 정리</t>
        </is>
      </c>
      <c r="B78" s="43" t="inlineStr">
        <is>
          <t>팀원 B</t>
        </is>
      </c>
      <c r="C78" s="39" t="inlineStr">
        <is>
          <t>팀원 A, 팀원 D</t>
        </is>
      </c>
      <c r="D78" s="34" t="inlineStr">
        <is>
          <t>F10</t>
        </is>
      </c>
      <c r="E78" s="28" t="inlineStr">
        <is>
          <t>새 북마크 정리 ([정리하기])</t>
        </is>
      </c>
      <c r="F78" s="34" t="inlineStr">
        <is>
          <t>P2</t>
        </is>
      </c>
      <c r="G78" s="34" t="inlineStr">
        <is>
          <t>F10-05</t>
        </is>
      </c>
      <c r="H78" s="39" t="inlineStr">
        <is>
          <t>정상</t>
        </is>
      </c>
      <c r="I78" s="34" t="inlineStr">
        <is>
          <t>Event-driven</t>
        </is>
      </c>
      <c r="J78" s="31" t="inlineStr">
        <is>
          <t>WHEN 사용자가 추천 폴더가 골라진 그대로, 또는 폴더를 직접 바꾼 뒤 [정리하기]를 누르면 THE 시스템은 SHALL 북마크를 한 번에 옮기고 history에 기록하며, 처리한 북마크는 "새로" 표시와 버튼 개수에서 뺀다.</t>
        </is>
      </c>
      <c r="K78" s="39" t="inlineStr">
        <is>
          <t>정리 창</t>
        </is>
      </c>
      <c r="L78" s="34" t="inlineStr">
        <is>
          <t>#23</t>
        </is>
      </c>
      <c r="M78" s="34" t="inlineStr">
        <is>
          <t>2-11, 3-6</t>
        </is>
      </c>
      <c r="N78" s="49" t="inlineStr">
        <is>
          <t>수정(v9): 확정 시안에서 버튼을 [정리하기] 하나로 통일 / 옮긴 북마크는 서비스 워커가 newBookmarks에서 지우고, '그대로 두기'로 둔 북마크는 새 탭이 handledNew에 기록</t>
        </is>
      </c>
    </row>
    <row r="79" ht="72" customHeight="1" s="25">
      <c r="A79" s="39" t="inlineStr">
        <is>
          <t>새 북마크 정리</t>
        </is>
      </c>
      <c r="B79" s="43" t="inlineStr">
        <is>
          <t>팀원 B</t>
        </is>
      </c>
      <c r="C79" s="39" t="inlineStr">
        <is>
          <t>팀원 C, 팀원 D</t>
        </is>
      </c>
      <c r="D79" s="34" t="inlineStr">
        <is>
          <t>F10</t>
        </is>
      </c>
      <c r="E79" s="28" t="inlineStr">
        <is>
          <t>새 북마크 정리 ([정리하기])</t>
        </is>
      </c>
      <c r="F79" s="34" t="inlineStr">
        <is>
          <t>P2</t>
        </is>
      </c>
      <c r="G79" s="34" t="inlineStr">
        <is>
          <t>F10-06</t>
        </is>
      </c>
      <c r="H79" s="39" t="inlineStr">
        <is>
          <t>정상</t>
        </is>
      </c>
      <c r="I79" s="34" t="inlineStr">
        <is>
          <t>Event-driven</t>
        </is>
      </c>
      <c r="J79" s="31" t="inlineStr">
        <is>
          <t>WHEN 폴더 밖에 같은 카테고리의 북마크가 3개 이상 모이고 폴더 수가 최대 개수 미만이면 THE 정리 창은 SHALL "폴더로 만들까요?"를 표시한다.</t>
        </is>
      </c>
      <c r="K79" s="39" t="inlineStr">
        <is>
          <t>정리 창</t>
        </is>
      </c>
      <c r="L79" s="34" t="inlineStr">
        <is>
          <t>#23</t>
        </is>
      </c>
      <c r="M79" s="34" t="inlineStr">
        <is>
          <t>2-11, 3-6</t>
        </is>
      </c>
      <c r="N79" s="49" t="inlineStr">
        <is>
          <t>확정(v5) · 실행 확인: 우리가 만든 폴더 수(history의 createdFolderIds 중 남아 있는 것)가, 폴더 밖 정리 대상과 우리 폴더 안 북마크를 합친 수로 정한 상한보다 적을 때만 제안</t>
        </is>
      </c>
    </row>
    <row r="80" ht="29.25" customHeight="1" s="25">
      <c r="A80" s="39" t="inlineStr">
        <is>
          <t>새 북마크 정리</t>
        </is>
      </c>
      <c r="B80" s="43" t="inlineStr">
        <is>
          <t>팀원 B</t>
        </is>
      </c>
      <c r="C80" s="39" t="inlineStr">
        <is>
          <t>팀원 D</t>
        </is>
      </c>
      <c r="D80" s="34" t="inlineStr">
        <is>
          <t>F10</t>
        </is>
      </c>
      <c r="E80" s="28" t="inlineStr">
        <is>
          <t>새 북마크 정리 ([정리하기])</t>
        </is>
      </c>
      <c r="F80" s="34" t="inlineStr">
        <is>
          <t>P2</t>
        </is>
      </c>
      <c r="G80" s="34" t="inlineStr">
        <is>
          <t>F10-07</t>
        </is>
      </c>
      <c r="H80" s="47" t="inlineStr">
        <is>
          <t>예외</t>
        </is>
      </c>
      <c r="I80" s="34" t="inlineStr">
        <is>
          <t>Unwanted</t>
        </is>
      </c>
      <c r="J80" s="31" t="inlineStr">
        <is>
          <t>IF 새 북마크가 분류되지 않았거나 해당 카테고리의 폴더가 없으면 THEN THE 정리 창은 SHALL "그대로 두기"를 기본으로 선택해 둔다.</t>
        </is>
      </c>
      <c r="K80" s="39" t="inlineStr">
        <is>
          <t>정리 창</t>
        </is>
      </c>
      <c r="L80" s="34" t="inlineStr">
        <is>
          <t>#23</t>
        </is>
      </c>
      <c r="M80" s="34" t="inlineStr">
        <is>
          <t>2-11, 3-6</t>
        </is>
      </c>
      <c r="N80" s="48" t="inlineStr">
        <is>
          <t>제안: 추천 폴더가 없을 때의 기본값
확정(v14): 추천 폴더는 분류된 카테고리와 이름이 같은 폴더다(classify.js의 suggestForNew, N24). 없으면 그대로 두기</t>
        </is>
      </c>
    </row>
    <row r="81" ht="43.5" customHeight="1" s="25">
      <c r="A81" s="39" t="inlineStr">
        <is>
          <t>새 북마크 정리</t>
        </is>
      </c>
      <c r="B81" s="43" t="inlineStr">
        <is>
          <t>팀원 B</t>
        </is>
      </c>
      <c r="C81" s="39" t="n"/>
      <c r="D81" s="34" t="inlineStr">
        <is>
          <t>F10</t>
        </is>
      </c>
      <c r="E81" s="28" t="inlineStr">
        <is>
          <t>새 북마크 정리 ([정리하기])</t>
        </is>
      </c>
      <c r="F81" s="34" t="inlineStr">
        <is>
          <t>P2</t>
        </is>
      </c>
      <c r="G81" s="34" t="inlineStr">
        <is>
          <t>F10-08</t>
        </is>
      </c>
      <c r="H81" s="39" t="inlineStr">
        <is>
          <t>정상</t>
        </is>
      </c>
      <c r="I81" s="34" t="inlineStr">
        <is>
          <t>Event-driven</t>
        </is>
      </c>
      <c r="J81" s="31" t="inlineStr">
        <is>
          <t>WHEN 사용자가 새 북마크를 직접 다른 폴더로 옮기면(별 버튼 창에서 폴더를 바꾼 경우 포함) THE 서비스 워커는 SHALL 그 북마크를 newBookmarks에서 지운다.</t>
        </is>
      </c>
      <c r="K81" s="39" t="inlineStr">
        <is>
          <t>화면 없음</t>
        </is>
      </c>
      <c r="L81" s="34" t="inlineStr">
        <is>
          <t>#23</t>
        </is>
      </c>
      <c r="M81" s="34" t="inlineStr">
        <is>
          <t>2-11, 3-6</t>
        </is>
      </c>
      <c r="N81" s="49" t="inlineStr">
        <is>
          <t>추가(v2) · 실행 확인(v4): 별 버튼 창에서 폴더를 바꾸면 '저장 → 이동' 순서로 알림이 오고, 직접 옮김으로 기록됨</t>
        </is>
      </c>
    </row>
    <row r="82" ht="29.25" customHeight="1" s="25">
      <c r="A82" s="39" t="inlineStr">
        <is>
          <t>새 북마크 정리</t>
        </is>
      </c>
      <c r="B82" s="43" t="inlineStr">
        <is>
          <t>팀원 B</t>
        </is>
      </c>
      <c r="C82" s="39" t="n"/>
      <c r="D82" s="34" t="inlineStr">
        <is>
          <t>F10</t>
        </is>
      </c>
      <c r="E82" s="28" t="inlineStr">
        <is>
          <t>새 북마크 정리 ([정리하기])</t>
        </is>
      </c>
      <c r="F82" s="34" t="inlineStr">
        <is>
          <t>P2</t>
        </is>
      </c>
      <c r="G82" s="34" t="inlineStr">
        <is>
          <t>F10-09</t>
        </is>
      </c>
      <c r="H82" s="47" t="inlineStr">
        <is>
          <t>예외</t>
        </is>
      </c>
      <c r="I82" s="34" t="inlineStr">
        <is>
          <t>Unwanted</t>
        </is>
      </c>
      <c r="J82" s="31" t="inlineStr">
        <is>
          <t>IF 북마크가 사용자 폴더 안에 바로 저장되면 THEN THE 서비스 워커는 SHALL 그 북마크를 newBookmarks에 추가하지 않는다.</t>
        </is>
      </c>
      <c r="K82" s="39" t="inlineStr">
        <is>
          <t>화면 없음</t>
        </is>
      </c>
      <c r="L82" s="34" t="inlineStr">
        <is>
          <t>#23</t>
        </is>
      </c>
      <c r="M82" s="34" t="inlineStr">
        <is>
          <t>2-11, 3-6</t>
        </is>
      </c>
      <c r="N82" s="49" t="inlineStr">
        <is>
          <t>확정(v5): 폴더를 지정해 저장한 북마크는 새 북마크로 세지 않음</t>
        </is>
      </c>
    </row>
    <row r="83" ht="29.25" customHeight="1" s="25">
      <c r="A83" s="39" t="inlineStr">
        <is>
          <t>웹 검색</t>
        </is>
      </c>
      <c r="B83" s="41" t="inlineStr">
        <is>
          <t>팀원 D</t>
        </is>
      </c>
      <c r="C83" s="39" t="n"/>
      <c r="D83" s="34" t="inlineStr">
        <is>
          <t>F11</t>
        </is>
      </c>
      <c r="E83" s="28" t="inlineStr">
        <is>
          <t>웹 검색창 (크롬 검색 유지)</t>
        </is>
      </c>
      <c r="F83" s="34" t="inlineStr">
        <is>
          <t>P1</t>
        </is>
      </c>
      <c r="G83" s="34" t="inlineStr">
        <is>
          <t>F11-01</t>
        </is>
      </c>
      <c r="H83" s="39" t="inlineStr">
        <is>
          <t>정상</t>
        </is>
      </c>
      <c r="I83" s="34" t="inlineStr">
        <is>
          <t>Event-driven</t>
        </is>
      </c>
      <c r="J83" s="31" t="inlineStr">
        <is>
          <t>WHEN 사용자가 웹 검색창에 검색어를 입력하고 Enter를 누르면 THE 시스템은 SHALL 사용자가 크롬에 설정한 기본 검색엔진의 검색 결과를 현재 탭에 연다.</t>
        </is>
      </c>
      <c r="K83" s="39" t="inlineStr">
        <is>
          <t>새 탭 메인</t>
        </is>
      </c>
      <c r="L83" s="34" t="inlineStr">
        <is>
          <t>#22</t>
        </is>
      </c>
      <c r="M83" s="34" t="inlineStr">
        <is>
          <t>2-14, 3-7</t>
        </is>
      </c>
      <c r="N83" s="28" t="n"/>
    </row>
    <row r="84" ht="43.5" customHeight="1" s="25">
      <c r="A84" s="39" t="inlineStr">
        <is>
          <t>웹 검색</t>
        </is>
      </c>
      <c r="B84" s="41" t="inlineStr">
        <is>
          <t>팀원 D</t>
        </is>
      </c>
      <c r="C84" s="39" t="n"/>
      <c r="D84" s="34" t="inlineStr">
        <is>
          <t>F11</t>
        </is>
      </c>
      <c r="E84" s="28" t="inlineStr">
        <is>
          <t>웹 검색창 (크롬 검색 유지)</t>
        </is>
      </c>
      <c r="F84" s="34" t="inlineStr">
        <is>
          <t>P1</t>
        </is>
      </c>
      <c r="G84" s="34" t="inlineStr">
        <is>
          <t>F11-02</t>
        </is>
      </c>
      <c r="H84" s="39" t="inlineStr">
        <is>
          <t>정상</t>
        </is>
      </c>
      <c r="I84" s="34" t="inlineStr">
        <is>
          <t>Event-driven</t>
        </is>
      </c>
      <c r="J84" s="31" t="inlineStr">
        <is>
          <t>WHEN 입력이 http:// 또는 https://로 시작하거나, 띄어쓰기 없이 점(.)을 포함하면 THE 시스템은 SHALL 검색하지 않고 그 주소로 이동한다.</t>
        </is>
      </c>
      <c r="K84" s="39" t="inlineStr">
        <is>
          <t>새 탭 메인</t>
        </is>
      </c>
      <c r="L84" s="34" t="inlineStr">
        <is>
          <t>#22</t>
        </is>
      </c>
      <c r="M84" s="34" t="inlineStr">
        <is>
          <t>2-14, 3-7</t>
        </is>
      </c>
      <c r="N84" s="49" t="inlineStr">
        <is>
          <t>알려진 한계: "node.js"처럼 점이 든 검색어도 주소로 처리됨. 계획 문서의 규칙 그대로</t>
        </is>
      </c>
    </row>
    <row r="85" ht="29.25" customHeight="1" s="25">
      <c r="A85" s="39" t="inlineStr">
        <is>
          <t>웹 검색</t>
        </is>
      </c>
      <c r="B85" s="41" t="inlineStr">
        <is>
          <t>팀원 D</t>
        </is>
      </c>
      <c r="C85" s="39" t="n"/>
      <c r="D85" s="34" t="inlineStr">
        <is>
          <t>F11</t>
        </is>
      </c>
      <c r="E85" s="28" t="inlineStr">
        <is>
          <t>웹 검색창 (크롬 검색 유지)</t>
        </is>
      </c>
      <c r="F85" s="34" t="inlineStr">
        <is>
          <t>P1</t>
        </is>
      </c>
      <c r="G85" s="34" t="inlineStr">
        <is>
          <t>F11-03</t>
        </is>
      </c>
      <c r="H85" s="39" t="inlineStr">
        <is>
          <t>정상</t>
        </is>
      </c>
      <c r="I85" s="34" t="inlineStr">
        <is>
          <t>Ubiquitous</t>
        </is>
      </c>
      <c r="J85" s="31" t="inlineStr">
        <is>
          <t>THE 새 탭 화면은 SHALL 웹 검색창에 자동 포커스를 주지 않아, 새 탭을 연 직후의 입력이 크롬 주소창으로 들어가게 한다.</t>
        </is>
      </c>
      <c r="K85" s="39" t="inlineStr">
        <is>
          <t>새 탭 메인</t>
        </is>
      </c>
      <c r="L85" s="34" t="inlineStr">
        <is>
          <t>#22</t>
        </is>
      </c>
      <c r="M85" s="34" t="inlineStr">
        <is>
          <t>2-14, 3-7</t>
        </is>
      </c>
      <c r="N85" s="28" t="n"/>
    </row>
    <row r="86" ht="29.25" customHeight="1" s="25">
      <c r="A86" s="39" t="inlineStr">
        <is>
          <t>웹 검색</t>
        </is>
      </c>
      <c r="B86" s="41" t="inlineStr">
        <is>
          <t>팀원 D</t>
        </is>
      </c>
      <c r="C86" s="39" t="n"/>
      <c r="D86" s="34" t="inlineStr">
        <is>
          <t>F11</t>
        </is>
      </c>
      <c r="E86" s="28" t="inlineStr">
        <is>
          <t>웹 검색창 (크롬 검색 유지)</t>
        </is>
      </c>
      <c r="F86" s="34" t="inlineStr">
        <is>
          <t>P1</t>
        </is>
      </c>
      <c r="G86" s="34" t="inlineStr">
        <is>
          <t>F11-04</t>
        </is>
      </c>
      <c r="H86" s="39" t="inlineStr">
        <is>
          <t>정상</t>
        </is>
      </c>
      <c r="I86" s="34" t="inlineStr">
        <is>
          <t>Ubiquitous</t>
        </is>
      </c>
      <c r="J86" s="31" t="inlineStr">
        <is>
          <t>THE 시스템은 SHALL 검색어 자동완성을 제공하지 않고, Enter를 누르기 전에는 입력한 글자를 어디에도 전송하지 않는다.</t>
        </is>
      </c>
      <c r="K86" s="39" t="inlineStr">
        <is>
          <t>화면 없음</t>
        </is>
      </c>
      <c r="L86" s="34" t="inlineStr">
        <is>
          <t>#22</t>
        </is>
      </c>
      <c r="M86" s="34" t="inlineStr">
        <is>
          <t>2-14, 3-7</t>
        </is>
      </c>
      <c r="N86" s="28" t="n"/>
    </row>
    <row r="87" ht="29.25" customHeight="1" s="25">
      <c r="A87" s="39" t="inlineStr">
        <is>
          <t>웹 검색</t>
        </is>
      </c>
      <c r="B87" s="41" t="inlineStr">
        <is>
          <t>팀원 D</t>
        </is>
      </c>
      <c r="C87" s="39" t="n"/>
      <c r="D87" s="34" t="inlineStr">
        <is>
          <t>F11</t>
        </is>
      </c>
      <c r="E87" s="28" t="inlineStr">
        <is>
          <t>웹 검색창 (크롬 검색 유지)</t>
        </is>
      </c>
      <c r="F87" s="34" t="inlineStr">
        <is>
          <t>P1</t>
        </is>
      </c>
      <c r="G87" s="34" t="inlineStr">
        <is>
          <t>F11-05</t>
        </is>
      </c>
      <c r="H87" s="47" t="inlineStr">
        <is>
          <t>예외</t>
        </is>
      </c>
      <c r="I87" s="34" t="inlineStr">
        <is>
          <t>Unwanted</t>
        </is>
      </c>
      <c r="J87" s="31" t="inlineStr">
        <is>
          <t>IF 입력이 비어 있거나 공백뿐이면 THEN THE 시스템은 SHALL 아무 동작도 하지 않는다.</t>
        </is>
      </c>
      <c r="K87" s="39" t="inlineStr">
        <is>
          <t>새 탭 메인</t>
        </is>
      </c>
      <c r="L87" s="34" t="inlineStr">
        <is>
          <t>#22</t>
        </is>
      </c>
      <c r="M87" s="34" t="inlineStr">
        <is>
          <t>2-14, 3-7</t>
        </is>
      </c>
      <c r="N87" s="48" t="inlineStr">
        <is>
          <t>제안</t>
        </is>
      </c>
    </row>
    <row r="88" ht="100.5" customHeight="1" s="25">
      <c r="A88" s="39" t="inlineStr">
        <is>
          <t>화면 배치</t>
        </is>
      </c>
      <c r="B88" s="41" t="inlineStr">
        <is>
          <t>팀원 D</t>
        </is>
      </c>
      <c r="C88" s="39" t="n"/>
      <c r="D88" s="34" t="inlineStr">
        <is>
          <t>F12</t>
        </is>
      </c>
      <c r="E88" s="28" t="inlineStr">
        <is>
          <t>새 탭 첫 화면 배치 + 반응형</t>
        </is>
      </c>
      <c r="F88" s="34" t="inlineStr">
        <is>
          <t>P1</t>
        </is>
      </c>
      <c r="G88" s="34" t="inlineStr">
        <is>
          <t>F12-01</t>
        </is>
      </c>
      <c r="H88" s="39" t="inlineStr">
        <is>
          <t>정상</t>
        </is>
      </c>
      <c r="I88" s="34" t="inlineStr">
        <is>
          <t>Ubiquitous</t>
        </is>
      </c>
      <c r="J88" s="31" t="inlineStr">
        <is>
          <t>THE 새 탭 화면은 SHALL 위에서부터 헤더(내 폴더·모든 북마크 이동 버튼, [정리하기], 정리 기록 버튼), 날짜, 웹 검색창, 앱 폴더(맨 앞에 잊고 있던 북마크), 모든 북마크(북마크 검색창 포함) 순서로 배치하고, 고정됨(독)은 화면 맨 아래에서 72px 이상 띄워 화면 아래에 고정한다.</t>
        </is>
      </c>
      <c r="K88" s="39" t="inlineStr">
        <is>
          <t>새 탭 메인</t>
        </is>
      </c>
      <c r="L88" s="34" t="inlineStr">
        <is>
          <t>#22</t>
        </is>
      </c>
      <c r="M88" s="34" t="inlineStr">
        <is>
          <t>3-8, 3-13</t>
        </is>
      </c>
      <c r="N88" s="49" t="inlineStr">
        <is>
          <t>수정(v9): 확정 시안 반영. 고정됨을 화면 아래에 띄우고, 설정 버튼·인사말·날씨는 두지 않음 / 실행 확인(v3): 크롬이 확장 프로그램 새 탭의 맨 아래에 확장 프로그램 이름과 [Chrome 맞춤설정] 버튼이 있는 띠(약 56px)를 붙임. 화면 설계에서 아래쪽을 비워 둘 것</t>
        </is>
      </c>
    </row>
    <row r="89" ht="29.25" customHeight="1" s="25">
      <c r="A89" s="39" t="inlineStr">
        <is>
          <t>화면 배치</t>
        </is>
      </c>
      <c r="B89" s="41" t="inlineStr">
        <is>
          <t>팀원 D</t>
        </is>
      </c>
      <c r="C89" s="39" t="n"/>
      <c r="D89" s="34" t="inlineStr">
        <is>
          <t>F12</t>
        </is>
      </c>
      <c r="E89" s="28" t="inlineStr">
        <is>
          <t>새 탭 첫 화면 배치 + 반응형</t>
        </is>
      </c>
      <c r="F89" s="34" t="inlineStr">
        <is>
          <t>P1</t>
        </is>
      </c>
      <c r="G89" s="34" t="inlineStr">
        <is>
          <t>F12-02</t>
        </is>
      </c>
      <c r="H89" s="39" t="inlineStr">
        <is>
          <t>정상</t>
        </is>
      </c>
      <c r="I89" s="34" t="inlineStr">
        <is>
          <t>Event-driven</t>
        </is>
      </c>
      <c r="J89" s="31" t="inlineStr">
        <is>
          <t>WHEN 사용자가 창 너비를 바꾸면 THE 새 탭 화면은 SHALL 한 줄에 놓이는 앱·폴더 개수를 창 너비에 맞게 바꾸고 가로 스크롤을 만들지 않는다.</t>
        </is>
      </c>
      <c r="K89" s="39" t="inlineStr">
        <is>
          <t>새 탭 메인</t>
        </is>
      </c>
      <c r="L89" s="34" t="inlineStr">
        <is>
          <t>#22</t>
        </is>
      </c>
      <c r="M89" s="34" t="inlineStr">
        <is>
          <t>3-8, 3-13</t>
        </is>
      </c>
      <c r="N89" s="49" t="inlineStr">
        <is>
          <t>확정(v9): 확정 시안에서 480px·768px·1280px 폭을 확인. 최소 480px</t>
        </is>
      </c>
    </row>
    <row r="90" ht="29.25" customHeight="1" s="25">
      <c r="A90" s="39" t="inlineStr">
        <is>
          <t>화면 배치</t>
        </is>
      </c>
      <c r="B90" s="41" t="inlineStr">
        <is>
          <t>팀원 D</t>
        </is>
      </c>
      <c r="C90" s="39" t="n"/>
      <c r="D90" s="34" t="inlineStr">
        <is>
          <t>F12</t>
        </is>
      </c>
      <c r="E90" s="28" t="inlineStr">
        <is>
          <t>새 탭 첫 화면 배치 + 반응형</t>
        </is>
      </c>
      <c r="F90" s="34" t="inlineStr">
        <is>
          <t>P1</t>
        </is>
      </c>
      <c r="G90" s="34" t="inlineStr">
        <is>
          <t>F12-03</t>
        </is>
      </c>
      <c r="H90" s="39" t="inlineStr">
        <is>
          <t>정상</t>
        </is>
      </c>
      <c r="I90" s="34" t="inlineStr">
        <is>
          <t>Ubiquitous</t>
        </is>
      </c>
      <c r="J90" s="31" t="inlineStr">
        <is>
          <t>THE 새 탭 화면은 SHALL 첫 정리 카드, 앱 폴더, 정리 창을 메인 화면 위에 어둡게 겹친 팝업으로 표시한다.</t>
        </is>
      </c>
      <c r="K90" s="39" t="inlineStr">
        <is>
          <t>새 탭 메인</t>
        </is>
      </c>
      <c r="L90" s="34" t="inlineStr">
        <is>
          <t>#22</t>
        </is>
      </c>
      <c r="M90" s="34" t="inlineStr">
        <is>
          <t>3-8, 3-13</t>
        </is>
      </c>
      <c r="N90" s="28" t="n"/>
    </row>
    <row r="91" ht="29.25" customHeight="1" s="25">
      <c r="A91" s="39" t="inlineStr">
        <is>
          <t>화면 배치</t>
        </is>
      </c>
      <c r="B91" s="41" t="inlineStr">
        <is>
          <t>팀원 D</t>
        </is>
      </c>
      <c r="C91" s="39" t="n"/>
      <c r="D91" s="34" t="inlineStr">
        <is>
          <t>F12</t>
        </is>
      </c>
      <c r="E91" s="28" t="inlineStr">
        <is>
          <t>새 탭 첫 화면 배치 + 반응형</t>
        </is>
      </c>
      <c r="F91" s="34" t="inlineStr">
        <is>
          <t>P1</t>
        </is>
      </c>
      <c r="G91" s="34" t="inlineStr">
        <is>
          <t>F12-04</t>
        </is>
      </c>
      <c r="H91" s="39" t="inlineStr">
        <is>
          <t>정상</t>
        </is>
      </c>
      <c r="I91" s="34" t="inlineStr">
        <is>
          <t>Event-driven</t>
        </is>
      </c>
      <c r="J91" s="31" t="inlineStr">
        <is>
          <t>WHEN 사용자가 Esc를 누르거나 팝업 바깥을 클릭하면 THE 새 탭 화면은 SHALL 팝업을 닫는다.</t>
        </is>
      </c>
      <c r="K91" s="39" t="inlineStr">
        <is>
          <t>새 탭 메인</t>
        </is>
      </c>
      <c r="L91" s="34" t="inlineStr">
        <is>
          <t>#22</t>
        </is>
      </c>
      <c r="M91" s="34" t="inlineStr">
        <is>
          <t>3-8, 3-13</t>
        </is>
      </c>
      <c r="N91" s="48" t="inlineStr">
        <is>
          <t>제안
확정(v11): 팝업은 공통 함수 없이 HTML의 &lt;dialog&gt; 요소와 newtab.css의 공통 모양으로 만든다. Esc로 닫기는 &lt;dialog&gt;의 기본 동작</t>
        </is>
      </c>
    </row>
    <row r="92" ht="43.5" customHeight="1" s="25">
      <c r="A92" s="39" t="inlineStr">
        <is>
          <t>되돌리기·정리 기록</t>
        </is>
      </c>
      <c r="B92" s="40" t="inlineStr">
        <is>
          <t>팀원 A</t>
        </is>
      </c>
      <c r="C92" s="39" t="inlineStr">
        <is>
          <t>팀원 D</t>
        </is>
      </c>
      <c r="D92" s="34" t="inlineStr">
        <is>
          <t>F13</t>
        </is>
      </c>
      <c r="E92" s="28" t="inlineStr">
        <is>
          <t>정리 되돌리기 + 정리 기록 화면</t>
        </is>
      </c>
      <c r="F92" s="34" t="inlineStr">
        <is>
          <t>P2</t>
        </is>
      </c>
      <c r="G92" s="34" t="inlineStr">
        <is>
          <t>F13-01</t>
        </is>
      </c>
      <c r="H92" s="39" t="inlineStr">
        <is>
          <t>정상</t>
        </is>
      </c>
      <c r="I92" s="34" t="inlineStr">
        <is>
          <t>Event-driven</t>
        </is>
      </c>
      <c r="J92" s="31" t="inlineStr">
        <is>
          <t>WHEN 사용자가 헤더의 정리 기록 버튼을 누르면 THE 정리 기록 화면은 SHALL 정리 내역을 최신순으로 날짜·종류(첫 정리, 새 북마크 정리)·이동 개수와 함께 표시한다.</t>
        </is>
      </c>
      <c r="K92" s="39" t="inlineStr">
        <is>
          <t>정리 기록</t>
        </is>
      </c>
      <c r="L92" s="34" t="inlineStr">
        <is>
          <t>#23</t>
        </is>
      </c>
      <c r="M92" s="34" t="inlineStr">
        <is>
          <t>2-12, 3-9</t>
        </is>
      </c>
      <c r="N92" s="49" t="inlineStr">
        <is>
          <t>수정(v9): 메뉴를 거치지 않고 헤더 버튼으로 바로 엶</t>
        </is>
      </c>
    </row>
    <row r="93" ht="29.25" customHeight="1" s="25">
      <c r="A93" s="39" t="inlineStr">
        <is>
          <t>되돌리기·정리 기록</t>
        </is>
      </c>
      <c r="B93" s="40" t="inlineStr">
        <is>
          <t>팀원 A</t>
        </is>
      </c>
      <c r="C93" s="39" t="inlineStr">
        <is>
          <t>팀원 D</t>
        </is>
      </c>
      <c r="D93" s="34" t="inlineStr">
        <is>
          <t>F13</t>
        </is>
      </c>
      <c r="E93" s="28" t="inlineStr">
        <is>
          <t>정리 되돌리기 + 정리 기록 화면</t>
        </is>
      </c>
      <c r="F93" s="34" t="inlineStr">
        <is>
          <t>P2</t>
        </is>
      </c>
      <c r="G93" s="34" t="inlineStr">
        <is>
          <t>F13-02</t>
        </is>
      </c>
      <c r="H93" s="39" t="inlineStr">
        <is>
          <t>정상</t>
        </is>
      </c>
      <c r="I93" s="34" t="inlineStr">
        <is>
          <t>Event-driven</t>
        </is>
      </c>
      <c r="J93" s="31" t="inlineStr">
        <is>
          <t>WHEN 사용자가 내역 하나를 펼치면 THE 정리 기록 화면은 SHALL 북마크별로 "원래 위치 → 옮긴 폴더"를 표시한다.</t>
        </is>
      </c>
      <c r="K93" s="39" t="inlineStr">
        <is>
          <t>정리 기록</t>
        </is>
      </c>
      <c r="L93" s="34" t="inlineStr">
        <is>
          <t>#23</t>
        </is>
      </c>
      <c r="M93" s="34" t="inlineStr">
        <is>
          <t>2-12, 3-9</t>
        </is>
      </c>
      <c r="N93" s="28" t="n"/>
    </row>
    <row r="94" ht="72" customHeight="1" s="25">
      <c r="A94" s="39" t="inlineStr">
        <is>
          <t>되돌리기·정리 기록</t>
        </is>
      </c>
      <c r="B94" s="40" t="inlineStr">
        <is>
          <t>팀원 A</t>
        </is>
      </c>
      <c r="C94" s="39" t="inlineStr">
        <is>
          <t>팀원 D</t>
        </is>
      </c>
      <c r="D94" s="34" t="inlineStr">
        <is>
          <t>F13</t>
        </is>
      </c>
      <c r="E94" s="28" t="inlineStr">
        <is>
          <t>정리 되돌리기 + 정리 기록 화면</t>
        </is>
      </c>
      <c r="F94" s="34" t="inlineStr">
        <is>
          <t>P1</t>
        </is>
      </c>
      <c r="G94" s="34" t="inlineStr">
        <is>
          <t>F13-03</t>
        </is>
      </c>
      <c r="H94" s="39" t="inlineStr">
        <is>
          <t>정상</t>
        </is>
      </c>
      <c r="I94" s="34" t="inlineStr">
        <is>
          <t>Event-driven</t>
        </is>
      </c>
      <c r="J94" s="31" t="inlineStr">
        <is>
          <t>WHEN 사용자가 [되돌리기]를 누르면 THE 시스템은 SHALL 그 정리에서 옮긴 북마크를 원래 폴더로 되돌리되, 각 북마크를 원래 순서에서 바로 앞에 있던 북마크의 바로 뒤에 놓고, 그 내역에 되돌린 시각을 기록한다.</t>
        </is>
      </c>
      <c r="K94" s="39" t="inlineStr">
        <is>
          <t>정리 기록</t>
        </is>
      </c>
      <c r="L94" s="34" t="inlineStr">
        <is>
          <t>#22</t>
        </is>
      </c>
      <c r="M94" s="34" t="inlineStr">
        <is>
          <t>2-12, 3-9</t>
        </is>
      </c>
      <c r="N94" s="49" t="inlineStr">
        <is>
          <t>수정(v4) · 실행 확인: 순서 번호로 되돌리면, 일부가 빠지거나(직접 옮김·삭제) 원래 폴더가 그사이 바뀌었을 때 순서가 어긋남. 이웃 기준으로 바꾼 뒤 추가·삭제가 섞여도 순서가 유지됨</t>
        </is>
      </c>
    </row>
    <row r="95" ht="29.25" customHeight="1" s="25">
      <c r="A95" s="39" t="inlineStr">
        <is>
          <t>되돌리기·정리 기록</t>
        </is>
      </c>
      <c r="B95" s="40" t="inlineStr">
        <is>
          <t>팀원 A</t>
        </is>
      </c>
      <c r="C95" s="39" t="inlineStr">
        <is>
          <t>팀원 D</t>
        </is>
      </c>
      <c r="D95" s="34" t="inlineStr">
        <is>
          <t>F13</t>
        </is>
      </c>
      <c r="E95" s="28" t="inlineStr">
        <is>
          <t>정리 되돌리기 + 정리 기록 화면</t>
        </is>
      </c>
      <c r="F95" s="34" t="inlineStr">
        <is>
          <t>P1</t>
        </is>
      </c>
      <c r="G95" s="34" t="inlineStr">
        <is>
          <t>F13-04</t>
        </is>
      </c>
      <c r="H95" s="39" t="inlineStr">
        <is>
          <t>정상</t>
        </is>
      </c>
      <c r="I95" s="34" t="inlineStr">
        <is>
          <t>Event-driven</t>
        </is>
      </c>
      <c r="J95" s="31" t="inlineStr">
        <is>
          <t>WHEN 되돌리기가 끝나고 그 정리가 만든 폴더가 비어 있으면 THE 시스템은 SHALL 그 빈 폴더를 삭제한다.</t>
        </is>
      </c>
      <c r="K95" s="39" t="inlineStr">
        <is>
          <t>정리 기록</t>
        </is>
      </c>
      <c r="L95" s="34" t="inlineStr">
        <is>
          <t>#22</t>
        </is>
      </c>
      <c r="M95" s="34" t="inlineStr">
        <is>
          <t>2-12, 3-9</t>
        </is>
      </c>
      <c r="N95" s="49" t="inlineStr">
        <is>
          <t>확정(v5): 그 정리가 만든 폴더만 지움. 원래 있던 폴더는 비어도 남김</t>
        </is>
      </c>
    </row>
    <row r="96" ht="43.5" customHeight="1" s="25">
      <c r="A96" s="39" t="inlineStr">
        <is>
          <t>되돌리기·정리 기록</t>
        </is>
      </c>
      <c r="B96" s="40" t="inlineStr">
        <is>
          <t>팀원 A</t>
        </is>
      </c>
      <c r="C96" s="39" t="inlineStr">
        <is>
          <t>팀원 D</t>
        </is>
      </c>
      <c r="D96" s="34" t="inlineStr">
        <is>
          <t>F13</t>
        </is>
      </c>
      <c r="E96" s="28" t="inlineStr">
        <is>
          <t>정리 되돌리기 + 정리 기록 화면</t>
        </is>
      </c>
      <c r="F96" s="34" t="inlineStr">
        <is>
          <t>P1</t>
        </is>
      </c>
      <c r="G96" s="34" t="inlineStr">
        <is>
          <t>F13-05</t>
        </is>
      </c>
      <c r="H96" s="47" t="inlineStr">
        <is>
          <t>예외</t>
        </is>
      </c>
      <c r="I96" s="34" t="inlineStr">
        <is>
          <t>Unwanted</t>
        </is>
      </c>
      <c r="J96" s="31" t="inlineStr">
        <is>
          <t>IF 북마크가 지금 그 정리가 옮겨 넣은 폴더에 있지 않으면(정리 뒤에 사용자가 직접 옮김) THEN THE 시스템은 SHALL 그 북마크를 되돌리지 않고 지금 위치에 둔다.</t>
        </is>
      </c>
      <c r="K96" s="39" t="inlineStr">
        <is>
          <t>정리 기록</t>
        </is>
      </c>
      <c r="L96" s="34" t="inlineStr">
        <is>
          <t>#22</t>
        </is>
      </c>
      <c r="M96" s="34" t="inlineStr">
        <is>
          <t>2-12, 3-9</t>
        </is>
      </c>
      <c r="N96" s="49" t="inlineStr">
        <is>
          <t>수정(v2): 직접 옮김 여부를 기록이 아닌 '지금 들어 있는 폴더'로 판별</t>
        </is>
      </c>
    </row>
    <row r="97" ht="43.5" customHeight="1" s="25">
      <c r="A97" s="39" t="inlineStr">
        <is>
          <t>되돌리기·정리 기록</t>
        </is>
      </c>
      <c r="B97" s="40" t="inlineStr">
        <is>
          <t>팀원 A</t>
        </is>
      </c>
      <c r="C97" s="39" t="inlineStr">
        <is>
          <t>팀원 D</t>
        </is>
      </c>
      <c r="D97" s="34" t="inlineStr">
        <is>
          <t>F13</t>
        </is>
      </c>
      <c r="E97" s="28" t="inlineStr">
        <is>
          <t>정리 되돌리기 + 정리 기록 화면</t>
        </is>
      </c>
      <c r="F97" s="34" t="inlineStr">
        <is>
          <t>P1</t>
        </is>
      </c>
      <c r="G97" s="34" t="inlineStr">
        <is>
          <t>F13-06</t>
        </is>
      </c>
      <c r="H97" s="47" t="inlineStr">
        <is>
          <t>예외</t>
        </is>
      </c>
      <c r="I97" s="34" t="inlineStr">
        <is>
          <t>Unwanted</t>
        </is>
      </c>
      <c r="J97" s="31" t="inlineStr">
        <is>
          <t>IF 원래 순서에서 앞에 있던 북마크가 원래 폴더에 하나도 남아 있지 않으면 THEN THE 시스템은 SHALL 그 북마크를 원래 폴더의 맨 앞에 놓는다.</t>
        </is>
      </c>
      <c r="K97" s="39" t="inlineStr">
        <is>
          <t>정리 기록</t>
        </is>
      </c>
      <c r="L97" s="34" t="inlineStr">
        <is>
          <t>#22</t>
        </is>
      </c>
      <c r="M97" s="34" t="inlineStr">
        <is>
          <t>2-12, 3-9</t>
        </is>
      </c>
      <c r="N97" s="49" t="inlineStr">
        <is>
          <t>수정(v4): 이웃 기준 복원의 예외. 순서 번호를 직접 쓰지 않으므로 범위 초과 오류도 생기지 않음</t>
        </is>
      </c>
    </row>
    <row r="98" ht="29.25" customHeight="1" s="25">
      <c r="A98" s="39" t="inlineStr">
        <is>
          <t>되돌리기·정리 기록</t>
        </is>
      </c>
      <c r="B98" s="40" t="inlineStr">
        <is>
          <t>팀원 A</t>
        </is>
      </c>
      <c r="C98" s="39" t="inlineStr">
        <is>
          <t>팀원 D</t>
        </is>
      </c>
      <c r="D98" s="34" t="inlineStr">
        <is>
          <t>F13</t>
        </is>
      </c>
      <c r="E98" s="28" t="inlineStr">
        <is>
          <t>정리 되돌리기 + 정리 기록 화면</t>
        </is>
      </c>
      <c r="F98" s="34" t="inlineStr">
        <is>
          <t>P1</t>
        </is>
      </c>
      <c r="G98" s="34" t="inlineStr">
        <is>
          <t>F13-07</t>
        </is>
      </c>
      <c r="H98" s="47" t="inlineStr">
        <is>
          <t>예외</t>
        </is>
      </c>
      <c r="I98" s="34" t="inlineStr">
        <is>
          <t>Unwanted</t>
        </is>
      </c>
      <c r="J98" s="31" t="inlineStr">
        <is>
          <t>IF 원래 폴더가 삭제돼 없으면 THEN THE 시스템은 SHALL 그 북마크를 기타 북마크로 되돌리고 "원래 폴더가 없어 기타 북마크로 되돌렸어요"를 표시한다.</t>
        </is>
      </c>
      <c r="K98" s="39" t="inlineStr">
        <is>
          <t>정리 기록</t>
        </is>
      </c>
      <c r="L98" s="34" t="inlineStr">
        <is>
          <t>#22</t>
        </is>
      </c>
      <c r="M98" s="34" t="inlineStr">
        <is>
          <t>2-12, 3-9</t>
        </is>
      </c>
      <c r="N98" s="28" t="n"/>
    </row>
    <row r="99" ht="29.25" customHeight="1" s="25">
      <c r="A99" s="39" t="inlineStr">
        <is>
          <t>되돌리기·정리 기록</t>
        </is>
      </c>
      <c r="B99" s="40" t="inlineStr">
        <is>
          <t>팀원 A</t>
        </is>
      </c>
      <c r="C99" s="39" t="inlineStr">
        <is>
          <t>팀원 D</t>
        </is>
      </c>
      <c r="D99" s="34" t="inlineStr">
        <is>
          <t>F13</t>
        </is>
      </c>
      <c r="E99" s="28" t="inlineStr">
        <is>
          <t>정리 되돌리기 + 정리 기록 화면</t>
        </is>
      </c>
      <c r="F99" s="34" t="inlineStr">
        <is>
          <t>P1</t>
        </is>
      </c>
      <c r="G99" s="34" t="inlineStr">
        <is>
          <t>F13-08</t>
        </is>
      </c>
      <c r="H99" s="47" t="inlineStr">
        <is>
          <t>예외</t>
        </is>
      </c>
      <c r="I99" s="34" t="inlineStr">
        <is>
          <t>Unwanted</t>
        </is>
      </c>
      <c r="J99" s="31" t="inlineStr">
        <is>
          <t>IF 되돌릴 북마크가 이미 삭제됐으면 THEN THE 시스템은 SHALL 그 북마크를 건너뛴다.</t>
        </is>
      </c>
      <c r="K99" s="39" t="inlineStr">
        <is>
          <t>정리 기록</t>
        </is>
      </c>
      <c r="L99" s="34" t="inlineStr">
        <is>
          <t>#22</t>
        </is>
      </c>
      <c r="M99" s="34" t="inlineStr">
        <is>
          <t>2-12, 3-9</t>
        </is>
      </c>
      <c r="N99" s="28" t="n"/>
    </row>
    <row r="100" ht="29.25" customHeight="1" s="25">
      <c r="A100" s="39" t="inlineStr">
        <is>
          <t>되돌리기·정리 기록</t>
        </is>
      </c>
      <c r="B100" s="40" t="inlineStr">
        <is>
          <t>팀원 A</t>
        </is>
      </c>
      <c r="C100" s="39" t="inlineStr">
        <is>
          <t>팀원 D</t>
        </is>
      </c>
      <c r="D100" s="34" t="inlineStr">
        <is>
          <t>F13</t>
        </is>
      </c>
      <c r="E100" s="28" t="inlineStr">
        <is>
          <t>정리 되돌리기 + 정리 기록 화면</t>
        </is>
      </c>
      <c r="F100" s="34" t="inlineStr">
        <is>
          <t>P2</t>
        </is>
      </c>
      <c r="G100" s="34" t="inlineStr">
        <is>
          <t>F13-09</t>
        </is>
      </c>
      <c r="H100" s="47" t="inlineStr">
        <is>
          <t>예외</t>
        </is>
      </c>
      <c r="I100" s="34" t="inlineStr">
        <is>
          <t>Unwanted</t>
        </is>
      </c>
      <c r="J100" s="31" t="inlineStr">
        <is>
          <t>IF 이미 되돌린 내역이면 THEN THE 정리 기록 화면은 SHALL [되돌리기] 버튼 대신 "되돌림"을 표시한다.</t>
        </is>
      </c>
      <c r="K100" s="39" t="inlineStr">
        <is>
          <t>정리 기록</t>
        </is>
      </c>
      <c r="L100" s="34" t="inlineStr">
        <is>
          <t>#23</t>
        </is>
      </c>
      <c r="M100" s="34" t="inlineStr">
        <is>
          <t>2-12, 3-9</t>
        </is>
      </c>
      <c r="N100" s="48" t="inlineStr">
        <is>
          <t>제안</t>
        </is>
      </c>
    </row>
    <row r="101" ht="29.25" customHeight="1" s="25">
      <c r="A101" s="39" t="inlineStr">
        <is>
          <t>되돌리기·정리 기록</t>
        </is>
      </c>
      <c r="B101" s="40" t="inlineStr">
        <is>
          <t>팀원 A</t>
        </is>
      </c>
      <c r="C101" s="39" t="inlineStr">
        <is>
          <t>팀원 D</t>
        </is>
      </c>
      <c r="D101" s="34" t="inlineStr">
        <is>
          <t>F13</t>
        </is>
      </c>
      <c r="E101" s="28" t="inlineStr">
        <is>
          <t>정리 되돌리기 + 정리 기록 화면</t>
        </is>
      </c>
      <c r="F101" s="34" t="inlineStr">
        <is>
          <t>P2</t>
        </is>
      </c>
      <c r="G101" s="34" t="inlineStr">
        <is>
          <t>F13-10</t>
        </is>
      </c>
      <c r="H101" s="47" t="inlineStr">
        <is>
          <t>예외</t>
        </is>
      </c>
      <c r="I101" s="34" t="inlineStr">
        <is>
          <t>Unwanted</t>
        </is>
      </c>
      <c r="J101" s="31" t="inlineStr">
        <is>
          <t>IF 정리 내역이 하나도 없으면 THEN THE 정리 기록 화면은 SHALL "아직 정리한 기록이 없어요"를 표시한다.</t>
        </is>
      </c>
      <c r="K101" s="39" t="inlineStr">
        <is>
          <t>정리 기록</t>
        </is>
      </c>
      <c r="L101" s="34" t="inlineStr">
        <is>
          <t>#23</t>
        </is>
      </c>
      <c r="M101" s="34" t="inlineStr">
        <is>
          <t>2-12, 3-9</t>
        </is>
      </c>
      <c r="N101" s="48" t="inlineStr">
        <is>
          <t>제안</t>
        </is>
      </c>
    </row>
    <row r="102" ht="86.25" customHeight="1" s="25">
      <c r="A102" s="39" t="inlineStr">
        <is>
          <t>북마크 검색</t>
        </is>
      </c>
      <c r="B102" s="41" t="inlineStr">
        <is>
          <t>팀원 D</t>
        </is>
      </c>
      <c r="C102" s="39" t="n"/>
      <c r="D102" s="34" t="inlineStr">
        <is>
          <t>F14</t>
        </is>
      </c>
      <c r="E102" s="28" t="inlineStr">
        <is>
          <t>북마크 검색</t>
        </is>
      </c>
      <c r="F102" s="34" t="inlineStr">
        <is>
          <t>P2</t>
        </is>
      </c>
      <c r="G102" s="34" t="inlineStr">
        <is>
          <t>F14-01</t>
        </is>
      </c>
      <c r="H102" s="39" t="inlineStr">
        <is>
          <t>정상</t>
        </is>
      </c>
      <c r="I102" s="34" t="inlineStr">
        <is>
          <t>Event-driven</t>
        </is>
      </c>
      <c r="J102" s="31" t="inlineStr">
        <is>
          <t>WHEN 사용자가 북마크 검색창에 글자를 입력할 때마다 THE 새 탭 화면은 SHALL 제목 또는 주소에 그 글자가 포함된 북마크(영문 대소문자 구분 없음)를 검색창 바로 아래에 리스트로 표시한다.</t>
        </is>
      </c>
      <c r="K102" s="39" t="inlineStr">
        <is>
          <t>새 탭 메인</t>
        </is>
      </c>
      <c r="L102" s="34" t="inlineStr">
        <is>
          <t>#23</t>
        </is>
      </c>
      <c r="M102" s="34" t="inlineStr">
        <is>
          <t>2-14, 3-10</t>
        </is>
      </c>
      <c r="N102" s="48" t="inlineStr">
        <is>
          <t>확인 필요(v9): 확정 시안은 결과를 모든 북마크 영역에 격자로 보여 줌. 리스트(폴더 이름 표시)와 격자 중 어느 쪽으로 할지 P2를 시작할 때 정함. 웹 검색창과는 연동하지 않음 / 제안: 일치 기준은 부분 일치, 대소문자 무시</t>
        </is>
      </c>
    </row>
    <row r="103" ht="15.75" customHeight="1" s="25">
      <c r="A103" s="39" t="inlineStr">
        <is>
          <t>북마크 검색</t>
        </is>
      </c>
      <c r="B103" s="41" t="inlineStr">
        <is>
          <t>팀원 D</t>
        </is>
      </c>
      <c r="C103" s="39" t="n"/>
      <c r="D103" s="34" t="inlineStr">
        <is>
          <t>F14</t>
        </is>
      </c>
      <c r="E103" s="28" t="inlineStr">
        <is>
          <t>북마크 검색</t>
        </is>
      </c>
      <c r="F103" s="34" t="inlineStr">
        <is>
          <t>P2</t>
        </is>
      </c>
      <c r="G103" s="34" t="inlineStr">
        <is>
          <t>F14-02</t>
        </is>
      </c>
      <c r="H103" s="39" t="inlineStr">
        <is>
          <t>정상</t>
        </is>
      </c>
      <c r="I103" s="34" t="inlineStr">
        <is>
          <t>Ubiquitous</t>
        </is>
      </c>
      <c r="J103" s="31" t="inlineStr">
        <is>
          <t>THE 시스템은 SHALL 폴더 안에 있는 북마크까지 포함해 전체 북마크에서 찾는다.</t>
        </is>
      </c>
      <c r="K103" s="39" t="inlineStr">
        <is>
          <t>화면 없음</t>
        </is>
      </c>
      <c r="L103" s="34" t="inlineStr">
        <is>
          <t>#23</t>
        </is>
      </c>
      <c r="M103" s="34" t="inlineStr">
        <is>
          <t>2-14, 3-10</t>
        </is>
      </c>
      <c r="N103" s="28" t="n"/>
    </row>
    <row r="104" ht="29.25" customHeight="1" s="25">
      <c r="A104" s="39" t="inlineStr">
        <is>
          <t>북마크 검색</t>
        </is>
      </c>
      <c r="B104" s="41" t="inlineStr">
        <is>
          <t>팀원 D</t>
        </is>
      </c>
      <c r="C104" s="39" t="n"/>
      <c r="D104" s="34" t="inlineStr">
        <is>
          <t>F14</t>
        </is>
      </c>
      <c r="E104" s="28" t="inlineStr">
        <is>
          <t>북마크 검색</t>
        </is>
      </c>
      <c r="F104" s="34" t="inlineStr">
        <is>
          <t>P2</t>
        </is>
      </c>
      <c r="G104" s="34" t="inlineStr">
        <is>
          <t>F14-03</t>
        </is>
      </c>
      <c r="H104" s="39" t="inlineStr">
        <is>
          <t>정상</t>
        </is>
      </c>
      <c r="I104" s="34" t="inlineStr">
        <is>
          <t>Ubiquitous</t>
        </is>
      </c>
      <c r="J104" s="31" t="inlineStr">
        <is>
          <t>THE 검색 결과 리스트는 SHALL 한 줄에 사이트 아이콘, 제목, 주소, 들어 있는 폴더 이름을 표시한다.</t>
        </is>
      </c>
      <c r="K104" s="39" t="inlineStr">
        <is>
          <t>새 탭 메인</t>
        </is>
      </c>
      <c r="L104" s="34" t="inlineStr">
        <is>
          <t>#23</t>
        </is>
      </c>
      <c r="M104" s="34" t="inlineStr">
        <is>
          <t>2-14, 3-10</t>
        </is>
      </c>
      <c r="N104" s="28" t="n"/>
    </row>
    <row r="105" ht="29.25" customHeight="1" s="25">
      <c r="A105" s="39" t="inlineStr">
        <is>
          <t>북마크 검색</t>
        </is>
      </c>
      <c r="B105" s="41" t="inlineStr">
        <is>
          <t>팀원 D</t>
        </is>
      </c>
      <c r="C105" s="39" t="inlineStr">
        <is>
          <t>팀원 A</t>
        </is>
      </c>
      <c r="D105" s="34" t="inlineStr">
        <is>
          <t>F14</t>
        </is>
      </c>
      <c r="E105" s="28" t="inlineStr">
        <is>
          <t>북마크 검색</t>
        </is>
      </c>
      <c r="F105" s="34" t="inlineStr">
        <is>
          <t>P2</t>
        </is>
      </c>
      <c r="G105" s="34" t="inlineStr">
        <is>
          <t>F14-04</t>
        </is>
      </c>
      <c r="H105" s="39" t="inlineStr">
        <is>
          <t>정상</t>
        </is>
      </c>
      <c r="I105" s="34" t="inlineStr">
        <is>
          <t>Event-driven</t>
        </is>
      </c>
      <c r="J105" s="31" t="inlineStr">
        <is>
          <t>WHEN 사용자가 결과 한 줄을 클릭하면 THE 시스템은 SHALL 그 페이지를 열고 연 시각을 기록한다.</t>
        </is>
      </c>
      <c r="K105" s="39" t="inlineStr">
        <is>
          <t>새 탭 메인</t>
        </is>
      </c>
      <c r="L105" s="34" t="inlineStr">
        <is>
          <t>#23</t>
        </is>
      </c>
      <c r="M105" s="34" t="inlineStr">
        <is>
          <t>2-14, 3-10</t>
        </is>
      </c>
      <c r="N105" s="28" t="n"/>
    </row>
    <row r="106" ht="29.25" customHeight="1" s="25">
      <c r="A106" s="39" t="inlineStr">
        <is>
          <t>북마크 검색</t>
        </is>
      </c>
      <c r="B106" s="41" t="inlineStr">
        <is>
          <t>팀원 D</t>
        </is>
      </c>
      <c r="C106" s="39" t="n"/>
      <c r="D106" s="34" t="inlineStr">
        <is>
          <t>F14</t>
        </is>
      </c>
      <c r="E106" s="28" t="inlineStr">
        <is>
          <t>북마크 검색</t>
        </is>
      </c>
      <c r="F106" s="34" t="inlineStr">
        <is>
          <t>P2</t>
        </is>
      </c>
      <c r="G106" s="34" t="inlineStr">
        <is>
          <t>F14-05</t>
        </is>
      </c>
      <c r="H106" s="47" t="inlineStr">
        <is>
          <t>예외</t>
        </is>
      </c>
      <c r="I106" s="34" t="inlineStr">
        <is>
          <t>Unwanted</t>
        </is>
      </c>
      <c r="J106" s="31" t="inlineStr">
        <is>
          <t>IF 일치하는 북마크가 없으면 THEN THE 새 탭 화면은 SHALL "일치하는 북마크가 없어요"를 표시한다.</t>
        </is>
      </c>
      <c r="K106" s="39" t="inlineStr">
        <is>
          <t>새 탭 메인</t>
        </is>
      </c>
      <c r="L106" s="34" t="inlineStr">
        <is>
          <t>#23</t>
        </is>
      </c>
      <c r="M106" s="34" t="inlineStr">
        <is>
          <t>2-14, 3-10</t>
        </is>
      </c>
      <c r="N106" s="48" t="inlineStr">
        <is>
          <t>제안: 문구</t>
        </is>
      </c>
    </row>
    <row r="107" ht="29.25" customHeight="1" s="25">
      <c r="A107" s="39" t="inlineStr">
        <is>
          <t>북마크 검색</t>
        </is>
      </c>
      <c r="B107" s="41" t="inlineStr">
        <is>
          <t>팀원 D</t>
        </is>
      </c>
      <c r="C107" s="39" t="n"/>
      <c r="D107" s="34" t="inlineStr">
        <is>
          <t>F14</t>
        </is>
      </c>
      <c r="E107" s="28" t="inlineStr">
        <is>
          <t>북마크 검색</t>
        </is>
      </c>
      <c r="F107" s="34" t="inlineStr">
        <is>
          <t>P2</t>
        </is>
      </c>
      <c r="G107" s="34" t="inlineStr">
        <is>
          <t>F14-06</t>
        </is>
      </c>
      <c r="H107" s="47" t="inlineStr">
        <is>
          <t>예외</t>
        </is>
      </c>
      <c r="I107" s="34" t="inlineStr">
        <is>
          <t>Unwanted</t>
        </is>
      </c>
      <c r="J107" s="31" t="inlineStr">
        <is>
          <t>IF 검색창이 비워지면 THEN THE 새 탭 화면은 SHALL 결과 리스트를 닫는다.</t>
        </is>
      </c>
      <c r="K107" s="39" t="inlineStr">
        <is>
          <t>새 탭 메인</t>
        </is>
      </c>
      <c r="L107" s="34" t="inlineStr">
        <is>
          <t>#23</t>
        </is>
      </c>
      <c r="M107" s="34" t="inlineStr">
        <is>
          <t>2-14, 3-10</t>
        </is>
      </c>
      <c r="N107" s="28" t="n"/>
    </row>
    <row r="108" ht="29.25" customHeight="1" s="25">
      <c r="A108" s="39" t="inlineStr">
        <is>
          <t>우클릭 이동</t>
        </is>
      </c>
      <c r="B108" s="42" t="inlineStr">
        <is>
          <t>팀원 C</t>
        </is>
      </c>
      <c r="C108" s="39" t="inlineStr">
        <is>
          <t>팀원 D</t>
        </is>
      </c>
      <c r="D108" s="34" t="inlineStr">
        <is>
          <t>F15</t>
        </is>
      </c>
      <c r="E108" s="28" t="inlineStr">
        <is>
          <t>우클릭 폴더 이동</t>
        </is>
      </c>
      <c r="F108" s="34" t="inlineStr">
        <is>
          <t>P2</t>
        </is>
      </c>
      <c r="G108" s="34" t="inlineStr">
        <is>
          <t>F15-01</t>
        </is>
      </c>
      <c r="H108" s="39" t="inlineStr">
        <is>
          <t>정상</t>
        </is>
      </c>
      <c r="I108" s="34" t="inlineStr">
        <is>
          <t>Event-driven</t>
        </is>
      </c>
      <c r="J108" s="31" t="inlineStr">
        <is>
          <t>WHEN 사용자가 앱을 우클릭하면 THE 새 탭 화면은 SHALL 브라우저 기본 메뉴 대신 "새 탭에서 열기", "고정하기", "폴더로 이동" 메뉴를 표시한다.</t>
        </is>
      </c>
      <c r="K108" s="39" t="inlineStr">
        <is>
          <t>새 탭 메인</t>
        </is>
      </c>
      <c r="L108" s="34" t="inlineStr">
        <is>
          <t>#23</t>
        </is>
      </c>
      <c r="M108" s="34" t="inlineStr">
        <is>
          <t>3-11</t>
        </is>
      </c>
      <c r="N108" s="28" t="n"/>
    </row>
    <row r="109" ht="43.5" customHeight="1" s="25">
      <c r="A109" s="39" t="inlineStr">
        <is>
          <t>우클릭 이동</t>
        </is>
      </c>
      <c r="B109" s="42" t="inlineStr">
        <is>
          <t>팀원 C</t>
        </is>
      </c>
      <c r="C109" s="39" t="inlineStr">
        <is>
          <t>팀원 B, 팀원 D</t>
        </is>
      </c>
      <c r="D109" s="34" t="inlineStr">
        <is>
          <t>F15</t>
        </is>
      </c>
      <c r="E109" s="28" t="inlineStr">
        <is>
          <t>우클릭 폴더 이동</t>
        </is>
      </c>
      <c r="F109" s="34" t="inlineStr">
        <is>
          <t>P2</t>
        </is>
      </c>
      <c r="G109" s="34" t="inlineStr">
        <is>
          <t>F15-02</t>
        </is>
      </c>
      <c r="H109" s="39" t="inlineStr">
        <is>
          <t>정상</t>
        </is>
      </c>
      <c r="I109" s="34" t="inlineStr">
        <is>
          <t>Event-driven</t>
        </is>
      </c>
      <c r="J109" s="31" t="inlineStr">
        <is>
          <t>WHEN 사용자가 "폴더로 이동"에서 폴더를 고르면 THE 시스템은 SHALL 북마크를 그 폴더로 옮기고(크롬 북마크 관리자에도 반영), 서비스 워커가 manualMoves에 기록한다.</t>
        </is>
      </c>
      <c r="K109" s="39" t="inlineStr">
        <is>
          <t>새 탭 메인</t>
        </is>
      </c>
      <c r="L109" s="34" t="inlineStr">
        <is>
          <t>#23</t>
        </is>
      </c>
      <c r="M109" s="34" t="inlineStr">
        <is>
          <t>3-11</t>
        </is>
      </c>
      <c r="N109" s="28" t="n"/>
    </row>
    <row r="110" ht="29.25" customHeight="1" s="25">
      <c r="A110" s="39" t="inlineStr">
        <is>
          <t>우클릭 이동</t>
        </is>
      </c>
      <c r="B110" s="42" t="inlineStr">
        <is>
          <t>팀원 C</t>
        </is>
      </c>
      <c r="C110" s="39" t="inlineStr">
        <is>
          <t>팀원 D</t>
        </is>
      </c>
      <c r="D110" s="34" t="inlineStr">
        <is>
          <t>F15</t>
        </is>
      </c>
      <c r="E110" s="28" t="inlineStr">
        <is>
          <t>우클릭 폴더 이동</t>
        </is>
      </c>
      <c r="F110" s="34" t="inlineStr">
        <is>
          <t>P2</t>
        </is>
      </c>
      <c r="G110" s="34" t="inlineStr">
        <is>
          <t>F15-03</t>
        </is>
      </c>
      <c r="H110" s="39" t="inlineStr">
        <is>
          <t>정상</t>
        </is>
      </c>
      <c r="I110" s="34" t="inlineStr">
        <is>
          <t>Event-driven</t>
        </is>
      </c>
      <c r="J110" s="31" t="inlineStr">
        <is>
          <t>WHEN 사용자가 "새 탭에서 열기"를 누르면 THE 시스템은 SHALL 새 탭에서 그 주소를 열고 연 시각을 기록한다.</t>
        </is>
      </c>
      <c r="K110" s="39" t="inlineStr">
        <is>
          <t>새 탭 메인</t>
        </is>
      </c>
      <c r="L110" s="34" t="inlineStr">
        <is>
          <t>#23</t>
        </is>
      </c>
      <c r="M110" s="34" t="inlineStr">
        <is>
          <t>3-11</t>
        </is>
      </c>
      <c r="N110" s="28" t="n"/>
    </row>
    <row r="111" ht="29.25" customHeight="1" s="25">
      <c r="A111" s="39" t="inlineStr">
        <is>
          <t>우클릭 이동</t>
        </is>
      </c>
      <c r="B111" s="42" t="inlineStr">
        <is>
          <t>팀원 C</t>
        </is>
      </c>
      <c r="C111" s="39" t="inlineStr">
        <is>
          <t>팀원 D</t>
        </is>
      </c>
      <c r="D111" s="34" t="inlineStr">
        <is>
          <t>F15</t>
        </is>
      </c>
      <c r="E111" s="28" t="inlineStr">
        <is>
          <t>우클릭 폴더 이동</t>
        </is>
      </c>
      <c r="F111" s="34" t="inlineStr">
        <is>
          <t>P2</t>
        </is>
      </c>
      <c r="G111" s="34" t="inlineStr">
        <is>
          <t>F15-04</t>
        </is>
      </c>
      <c r="H111" s="47" t="inlineStr">
        <is>
          <t>예외</t>
        </is>
      </c>
      <c r="I111" s="34" t="inlineStr">
        <is>
          <t>Unwanted</t>
        </is>
      </c>
      <c r="J111" s="31" t="inlineStr">
        <is>
          <t>IF 우클릭한 앱이 이미 독에 고정돼 있으면 THEN THE 메뉴는 SHALL "고정하기" 대신 "고정 해제"를 표시한다.</t>
        </is>
      </c>
      <c r="K111" s="39" t="inlineStr">
        <is>
          <t>새 탭 메인</t>
        </is>
      </c>
      <c r="L111" s="34" t="inlineStr">
        <is>
          <t>#23</t>
        </is>
      </c>
      <c r="M111" s="34" t="inlineStr">
        <is>
          <t>3-11</t>
        </is>
      </c>
      <c r="N111" s="48" t="inlineStr">
        <is>
          <t>제안</t>
        </is>
      </c>
    </row>
    <row r="112" ht="29.25" customHeight="1" s="25">
      <c r="A112" s="39" t="inlineStr">
        <is>
          <t>우클릭 이동</t>
        </is>
      </c>
      <c r="B112" s="42" t="inlineStr">
        <is>
          <t>팀원 C</t>
        </is>
      </c>
      <c r="C112" s="39" t="inlineStr">
        <is>
          <t>팀원 D</t>
        </is>
      </c>
      <c r="D112" s="34" t="inlineStr">
        <is>
          <t>F15</t>
        </is>
      </c>
      <c r="E112" s="28" t="inlineStr">
        <is>
          <t>우클릭 폴더 이동</t>
        </is>
      </c>
      <c r="F112" s="34" t="inlineStr">
        <is>
          <t>P2</t>
        </is>
      </c>
      <c r="G112" s="34" t="inlineStr">
        <is>
          <t>F15-05</t>
        </is>
      </c>
      <c r="H112" s="47" t="inlineStr">
        <is>
          <t>예외</t>
        </is>
      </c>
      <c r="I112" s="34" t="inlineStr">
        <is>
          <t>Unwanted</t>
        </is>
      </c>
      <c r="J112" s="31" t="inlineStr">
        <is>
          <t>IF 사용자가 지금 들어 있는 폴더를 고르면 THEN THE 시스템은 SHALL 북마크를 옮기지 않고 manualMoves에도 기록하지 않는다.</t>
        </is>
      </c>
      <c r="K112" s="39" t="inlineStr">
        <is>
          <t>새 탭 메인</t>
        </is>
      </c>
      <c r="L112" s="34" t="inlineStr">
        <is>
          <t>#23</t>
        </is>
      </c>
      <c r="M112" s="34" t="inlineStr">
        <is>
          <t>3-11</t>
        </is>
      </c>
      <c r="N112" s="48" t="inlineStr">
        <is>
          <t>제안</t>
        </is>
      </c>
    </row>
    <row r="113" ht="43.5" customHeight="1" s="25">
      <c r="A113" s="39" t="inlineStr">
        <is>
          <t>세부 폴더</t>
        </is>
      </c>
      <c r="B113" s="42" t="inlineStr">
        <is>
          <t>팀원 C</t>
        </is>
      </c>
      <c r="C113" s="39" t="inlineStr">
        <is>
          <t>팀원 D</t>
        </is>
      </c>
      <c r="D113" s="34" t="inlineStr">
        <is>
          <t>F16</t>
        </is>
      </c>
      <c r="E113" s="28" t="inlineStr">
        <is>
          <t>세부 폴더 제안</t>
        </is>
      </c>
      <c r="F113" s="34" t="inlineStr">
        <is>
          <t>P3</t>
        </is>
      </c>
      <c r="G113" s="34" t="inlineStr">
        <is>
          <t>F16-01</t>
        </is>
      </c>
      <c r="H113" s="39" t="inlineStr">
        <is>
          <t>정상</t>
        </is>
      </c>
      <c r="I113" s="34" t="inlineStr">
        <is>
          <t>Event-driven</t>
        </is>
      </c>
      <c r="J113" s="31" t="inlineStr">
        <is>
          <t>WHEN 앱 폴더 안의 북마크가 20개를 넘으면 THE 시스템은 SHALL 제목에 반복되는 주제 단어 중 북마크 3개 이상·사이트 2곳 이상에 나타나는 단어로 세부 폴더를 제안한다.</t>
        </is>
      </c>
      <c r="K113" s="39" t="inlineStr">
        <is>
          <t>정리 창</t>
        </is>
      </c>
      <c r="L113" s="34" t="inlineStr">
        <is>
          <t>#24</t>
        </is>
      </c>
      <c r="M113" s="34" t="inlineStr">
        <is>
          <t>3-12</t>
        </is>
      </c>
      <c r="N113" s="28" t="n"/>
    </row>
    <row r="114" ht="29.25" customHeight="1" s="25">
      <c r="A114" s="39" t="inlineStr">
        <is>
          <t>세부 폴더</t>
        </is>
      </c>
      <c r="B114" s="42" t="inlineStr">
        <is>
          <t>팀원 C</t>
        </is>
      </c>
      <c r="C114" s="39" t="inlineStr">
        <is>
          <t>팀원 A, 팀원 D</t>
        </is>
      </c>
      <c r="D114" s="34" t="inlineStr">
        <is>
          <t>F16</t>
        </is>
      </c>
      <c r="E114" s="28" t="inlineStr">
        <is>
          <t>세부 폴더 제안</t>
        </is>
      </c>
      <c r="F114" s="34" t="inlineStr">
        <is>
          <t>P3</t>
        </is>
      </c>
      <c r="G114" s="34" t="inlineStr">
        <is>
          <t>F16-02</t>
        </is>
      </c>
      <c r="H114" s="39" t="inlineStr">
        <is>
          <t>정상</t>
        </is>
      </c>
      <c r="I114" s="34" t="inlineStr">
        <is>
          <t>Event-driven</t>
        </is>
      </c>
      <c r="J114" s="31" t="inlineStr">
        <is>
          <t>WHEN 사용자가 세부 폴더 제안을 수락하면 THE 시스템은 SHALL 그 폴더 안에 세부 폴더를 만들어 북마크를 옮기고 history에 기록한다.</t>
        </is>
      </c>
      <c r="K114" s="39" t="inlineStr">
        <is>
          <t>정리 창</t>
        </is>
      </c>
      <c r="L114" s="34" t="inlineStr">
        <is>
          <t>#24</t>
        </is>
      </c>
      <c r="M114" s="34" t="inlineStr">
        <is>
          <t>3-12</t>
        </is>
      </c>
      <c r="N114" s="28" t="n"/>
    </row>
    <row r="115" ht="29.25" customHeight="1" s="25">
      <c r="A115" s="39" t="inlineStr">
        <is>
          <t>세부 폴더</t>
        </is>
      </c>
      <c r="B115" s="42" t="inlineStr">
        <is>
          <t>팀원 C</t>
        </is>
      </c>
      <c r="C115" s="39" t="n"/>
      <c r="D115" s="34" t="inlineStr">
        <is>
          <t>F16</t>
        </is>
      </c>
      <c r="E115" s="28" t="inlineStr">
        <is>
          <t>세부 폴더 제안</t>
        </is>
      </c>
      <c r="F115" s="34" t="inlineStr">
        <is>
          <t>P3</t>
        </is>
      </c>
      <c r="G115" s="34" t="inlineStr">
        <is>
          <t>F16-03</t>
        </is>
      </c>
      <c r="H115" s="47" t="inlineStr">
        <is>
          <t>예외</t>
        </is>
      </c>
      <c r="I115" s="34" t="inlineStr">
        <is>
          <t>Unwanted</t>
        </is>
      </c>
      <c r="J115" s="31" t="inlineStr">
        <is>
          <t>IF 조건에 맞는 주제 단어가 없으면 THEN THE 시스템은 SHALL 세부 폴더를 제안하지 않는다.</t>
        </is>
      </c>
      <c r="K115" s="39" t="inlineStr">
        <is>
          <t>화면 없음</t>
        </is>
      </c>
      <c r="L115" s="34" t="inlineStr">
        <is>
          <t>#24</t>
        </is>
      </c>
      <c r="M115" s="34" t="inlineStr">
        <is>
          <t>3-12</t>
        </is>
      </c>
      <c r="N115" s="28" t="n"/>
    </row>
    <row r="116" ht="29.25" customHeight="1" s="25">
      <c r="A116" s="39" t="inlineStr">
        <is>
          <t>드래그 이동</t>
        </is>
      </c>
      <c r="B116" s="41" t="inlineStr">
        <is>
          <t>팀원 D</t>
        </is>
      </c>
      <c r="C116" s="39" t="inlineStr">
        <is>
          <t>팀원 B</t>
        </is>
      </c>
      <c r="D116" s="34" t="inlineStr">
        <is>
          <t>F17</t>
        </is>
      </c>
      <c r="E116" s="28" t="inlineStr">
        <is>
          <t>드래그 이동</t>
        </is>
      </c>
      <c r="F116" s="34" t="inlineStr">
        <is>
          <t>P3</t>
        </is>
      </c>
      <c r="G116" s="34" t="inlineStr">
        <is>
          <t>F17-01</t>
        </is>
      </c>
      <c r="H116" s="39" t="inlineStr">
        <is>
          <t>정상</t>
        </is>
      </c>
      <c r="I116" s="34" t="inlineStr">
        <is>
          <t>Event-driven</t>
        </is>
      </c>
      <c r="J116" s="31" t="inlineStr">
        <is>
          <t>WHEN 사용자가 점 6개 손잡이로 앱을 끌어 앱 폴더 위에 놓으면 THE 시스템은 SHALL 북마크를 그 폴더로 옮기고 manualMoves에 기록한다.</t>
        </is>
      </c>
      <c r="K116" s="39" t="inlineStr">
        <is>
          <t>새 탭 메인</t>
        </is>
      </c>
      <c r="L116" s="34" t="inlineStr">
        <is>
          <t>#24</t>
        </is>
      </c>
      <c r="M116" s="34" t="inlineStr">
        <is>
          <t>3-12</t>
        </is>
      </c>
      <c r="N116" s="28" t="n"/>
    </row>
    <row r="117" ht="57.75" customHeight="1" s="25">
      <c r="A117" s="39" t="inlineStr">
        <is>
          <t>드래그 이동</t>
        </is>
      </c>
      <c r="B117" s="41" t="inlineStr">
        <is>
          <t>팀원 D</t>
        </is>
      </c>
      <c r="C117" s="39" t="n"/>
      <c r="D117" s="34" t="inlineStr">
        <is>
          <t>F17</t>
        </is>
      </c>
      <c r="E117" s="28" t="inlineStr">
        <is>
          <t>드래그 이동</t>
        </is>
      </c>
      <c r="F117" s="34" t="inlineStr">
        <is>
          <t>P3</t>
        </is>
      </c>
      <c r="G117" s="34" t="inlineStr">
        <is>
          <t>F17-02</t>
        </is>
      </c>
      <c r="H117" s="39" t="inlineStr">
        <is>
          <t>정상</t>
        </is>
      </c>
      <c r="I117" s="34" t="inlineStr">
        <is>
          <t>Event-driven</t>
        </is>
      </c>
      <c r="J117" s="31" t="inlineStr">
        <is>
          <t>WHEN 사용자가 앱이나 폴더를 끌어 순서를 바꾸면 THE 시스템은 SHALL 바뀐 순서를 크롬 북마크에 저장한다.</t>
        </is>
      </c>
      <c r="K117" s="39" t="inlineStr">
        <is>
          <t>새 탭 메인</t>
        </is>
      </c>
      <c r="L117" s="34" t="inlineStr">
        <is>
          <t>#24</t>
        </is>
      </c>
      <c r="M117" s="34" t="inlineStr">
        <is>
          <t>3-12</t>
        </is>
      </c>
      <c r="N117" s="49" t="inlineStr">
        <is>
          <t>실행 확인(v3): 같은 폴더 안에서 뒤쪽으로 옮길 때는 지정한 번호보다 한 칸 앞에 놓임(3번으로 옮기면 2번이 됨). 뒤로 옮길 때는 번호에 1을 더함</t>
        </is>
      </c>
    </row>
    <row r="118" ht="29.25" customHeight="1" s="25">
      <c r="A118" s="39" t="inlineStr">
        <is>
          <t>드래그 이동</t>
        </is>
      </c>
      <c r="B118" s="41" t="inlineStr">
        <is>
          <t>팀원 D</t>
        </is>
      </c>
      <c r="C118" s="39" t="n"/>
      <c r="D118" s="34" t="inlineStr">
        <is>
          <t>F17</t>
        </is>
      </c>
      <c r="E118" s="28" t="inlineStr">
        <is>
          <t>드래그 이동</t>
        </is>
      </c>
      <c r="F118" s="34" t="inlineStr">
        <is>
          <t>P3</t>
        </is>
      </c>
      <c r="G118" s="34" t="inlineStr">
        <is>
          <t>F17-03</t>
        </is>
      </c>
      <c r="H118" s="47" t="inlineStr">
        <is>
          <t>예외</t>
        </is>
      </c>
      <c r="I118" s="34" t="inlineStr">
        <is>
          <t>Unwanted</t>
        </is>
      </c>
      <c r="J118" s="31" t="inlineStr">
        <is>
          <t>IF 사용자가 놓을 수 없는 곳에 앱을 놓으면 THEN THE 새 탭 화면은 SHALL 앱을 원래 자리로 되돌리고 크롬 북마크를 바꾸지 않는다.</t>
        </is>
      </c>
      <c r="K118" s="39" t="inlineStr">
        <is>
          <t>새 탭 메인</t>
        </is>
      </c>
      <c r="L118" s="34" t="inlineStr">
        <is>
          <t>#24</t>
        </is>
      </c>
      <c r="M118" s="34" t="inlineStr">
        <is>
          <t>3-12</t>
        </is>
      </c>
      <c r="N118" s="28" t="n"/>
    </row>
  </sheetData>
  <autoFilter ref="A1:N1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4" min="1" max="1"/>
    <col width="9" customWidth="1" style="24" min="2" max="2"/>
    <col width="6" customWidth="1" style="24" min="3" max="3"/>
    <col width="12" customWidth="1" style="24" min="4" max="4"/>
    <col width="34" customWidth="1" style="24" min="5" max="5"/>
    <col width="20" customWidth="1" style="24" min="6" max="6"/>
    <col width="26" customWidth="1" style="24" min="7" max="7"/>
    <col width="34" customWidth="1" style="24" min="8" max="9"/>
    <col width="18" customWidth="1" style="24" min="10" max="10"/>
    <col width="52" customWidth="1" style="24" min="11" max="11"/>
    <col width="16" customWidth="1" style="24" min="12" max="12"/>
  </cols>
  <sheetData>
    <row r="1" ht="26.25" customHeight="1" s="25">
      <c r="A1" s="33" t="inlineStr">
        <is>
          <t>도메인</t>
        </is>
      </c>
      <c r="B1" s="33" t="inlineStr">
        <is>
          <t>담당(안)</t>
        </is>
      </c>
      <c r="C1" s="46" t="inlineStr">
        <is>
          <t>ID</t>
        </is>
      </c>
      <c r="D1" s="33" t="inlineStr">
        <is>
          <t>분류</t>
        </is>
      </c>
      <c r="E1" s="33" t="inlineStr">
        <is>
          <t>메서드 · 이벤트</t>
        </is>
      </c>
      <c r="F1" s="33" t="inlineStr">
        <is>
          <t>필요 권한</t>
        </is>
      </c>
      <c r="G1" s="33" t="inlineStr">
        <is>
          <t>입력</t>
        </is>
      </c>
      <c r="H1" s="33" t="inlineStr">
        <is>
          <t>출력 · 이벤트 값</t>
        </is>
      </c>
      <c r="I1" s="33" t="inlineStr">
        <is>
          <t>용도</t>
        </is>
      </c>
      <c r="J1" s="33" t="inlineStr">
        <is>
          <t>호출 위치</t>
        </is>
      </c>
      <c r="K1" s="33" t="inlineStr">
        <is>
          <t>주의 · 예외</t>
        </is>
      </c>
      <c r="L1" s="33" t="inlineStr">
        <is>
          <t>관련 기능</t>
        </is>
      </c>
    </row>
    <row r="2" ht="57.75" customHeight="1" s="25">
      <c r="A2" s="39" t="inlineStr">
        <is>
          <t>확장 프로그램 설정</t>
        </is>
      </c>
      <c r="B2" s="40" t="inlineStr">
        <is>
          <t>팀원 A</t>
        </is>
      </c>
      <c r="C2" s="34" t="inlineStr">
        <is>
          <t>C01</t>
        </is>
      </c>
      <c r="D2" s="34" t="inlineStr">
        <is>
          <t>manifest</t>
        </is>
      </c>
      <c r="E2" s="31" t="inlineStr">
        <is>
          <t>chrome_url_overrides.newtab</t>
        </is>
      </c>
      <c r="F2" s="28" t="inlineStr">
        <is>
          <t>없음 (설치 시 '새 탭 페이지 변경' 안내)</t>
        </is>
      </c>
      <c r="G2" s="31" t="inlineStr">
        <is>
          <t>"newtab.html"</t>
        </is>
      </c>
      <c r="H2" s="31" t="inlineStr">
        <is>
          <t>—</t>
        </is>
      </c>
      <c r="I2" s="28" t="inlineStr">
        <is>
          <t>새 탭을 확장 프로그램 화면으로 바꿈</t>
        </is>
      </c>
      <c r="J2" s="31" t="inlineStr">
        <is>
          <t>manifest.json</t>
        </is>
      </c>
      <c r="K2" s="28" t="inlineStr">
        <is>
          <t>주소창 포커스는 크롬이 그대로 유지. 확장 프로그램 화면은 HTML 안에 직접 쓴 스크립트(&lt;script&gt;코드&lt;/script&gt;, onclick 속성)를 실행하지 못하므로 모든 코드는 .js 파일에 두고 addEventListener로 연결. eval과 new Function도 막힘(실행 확인)</t>
        </is>
      </c>
      <c r="L2" s="31" t="inlineStr">
        <is>
          <t>F11, F12</t>
        </is>
      </c>
    </row>
    <row r="3" ht="43.5" customHeight="1" s="25">
      <c r="A3" s="39" t="inlineStr">
        <is>
          <t>확장 프로그램 설정</t>
        </is>
      </c>
      <c r="B3" s="40" t="inlineStr">
        <is>
          <t>팀원 A</t>
        </is>
      </c>
      <c r="C3" s="34" t="inlineStr">
        <is>
          <t>C02</t>
        </is>
      </c>
      <c r="D3" s="34" t="inlineStr">
        <is>
          <t>manifest</t>
        </is>
      </c>
      <c r="E3" s="31" t="inlineStr">
        <is>
          <t>background.service_worker</t>
        </is>
      </c>
      <c r="F3" s="28" t="inlineStr">
        <is>
          <t>없음</t>
        </is>
      </c>
      <c r="G3" s="31" t="inlineStr">
        <is>
          <t>"background.js", type: "module"</t>
        </is>
      </c>
      <c r="H3" s="31" t="inlineStr">
        <is>
          <t>—</t>
        </is>
      </c>
      <c r="I3" s="28" t="inlineStr">
        <is>
          <t>새 탭이 닫혀 있어도 북마크 알림을 받음</t>
        </is>
      </c>
      <c r="J3" s="31" t="inlineStr">
        <is>
          <t>manifest.json</t>
        </is>
      </c>
      <c r="K3" s="31" t="inlineStr">
        <is>
          <t>30초쯤 쉬면 꺼졌다가 알림이 오면 다시 켜짐. 변수에 상태를 두지 말고 저장소에 기록. 알림 리스너는 파일 맨 위에서 바로 등록(나중에 등록하면 깨어날 때 알림을 놓침)</t>
        </is>
      </c>
      <c r="L3" s="31" t="inlineStr">
        <is>
          <t>F01, F07, F10</t>
        </is>
      </c>
    </row>
    <row r="4" ht="43.5" customHeight="1" s="25">
      <c r="A4" s="39" t="inlineStr">
        <is>
          <t>확장 프로그램 설정</t>
        </is>
      </c>
      <c r="B4" s="43" t="inlineStr">
        <is>
          <t>팀원 B</t>
        </is>
      </c>
      <c r="C4" s="34" t="inlineStr">
        <is>
          <t>C03</t>
        </is>
      </c>
      <c r="D4" s="34" t="inlineStr">
        <is>
          <t>runtime</t>
        </is>
      </c>
      <c r="E4" s="31" t="inlineStr">
        <is>
          <t>onInstalled</t>
        </is>
      </c>
      <c r="F4" s="28" t="inlineStr">
        <is>
          <t>없음</t>
        </is>
      </c>
      <c r="G4" s="31" t="inlineStr">
        <is>
          <t>—</t>
        </is>
      </c>
      <c r="H4" s="31" t="inlineStr">
        <is>
          <t>{ reason }</t>
        </is>
      </c>
      <c r="I4" s="28" t="inlineStr">
        <is>
          <t>서비스 워커가 쓰는 저장 항목(manualMoves, newBookmarks)의 빈 기본값을 처음 한 번 만듦</t>
        </is>
      </c>
      <c r="J4" s="31" t="inlineStr">
        <is>
          <t>background.js</t>
        </is>
      </c>
      <c r="K4" s="31" t="inlineStr">
        <is>
          <t>reason이 "install"일 때만 기록 (업데이트 때 덮어쓰지 않음). 새 탭이 쓰는 state는 건드리지 않음</t>
        </is>
      </c>
      <c r="L4" s="31" t="inlineStr">
        <is>
          <t>F07, F10</t>
        </is>
      </c>
    </row>
    <row r="5" ht="57.75" customHeight="1" s="25">
      <c r="A5" s="39" t="inlineStr">
        <is>
          <t>북마크 동기화</t>
        </is>
      </c>
      <c r="B5" s="40" t="inlineStr">
        <is>
          <t>팀원 A</t>
        </is>
      </c>
      <c r="C5" s="34" t="inlineStr">
        <is>
          <t>C04</t>
        </is>
      </c>
      <c r="D5" s="34" t="inlineStr">
        <is>
          <t>bookmarks</t>
        </is>
      </c>
      <c r="E5" s="31" t="inlineStr">
        <is>
          <t>getTree()</t>
        </is>
      </c>
      <c r="F5" s="31" t="inlineStr">
        <is>
          <t>bookmarks</t>
        </is>
      </c>
      <c r="G5" s="28" t="inlineStr">
        <is>
          <t>없음</t>
        </is>
      </c>
      <c r="H5" s="31" t="inlineStr">
        <is>
          <t>BookmarkTreeNode[] (최상위 1개, 그 아래 북마크바·기타·모바일)</t>
        </is>
      </c>
      <c r="I5" s="28" t="inlineStr">
        <is>
          <t>북마크 전체 읽기</t>
        </is>
      </c>
      <c r="J5" s="31" t="inlineStr">
        <is>
          <t>bookmarks.js</t>
        </is>
      </c>
      <c r="K5" s="28" t="inlineStr">
        <is>
          <t>노드 필드: id, parentId, index, title, url, dateAdded, dateLastUsed, folderType, syncing, children. 실행 확인(v3): 로그인하지 않은 크롬에는 모바일 북마크 폴더가 아예 없고, 한 번도 안 연 북마크에는 dateLastUsed 필드가 없음</t>
        </is>
      </c>
      <c r="L5" s="31" t="inlineStr">
        <is>
          <t>F01 ~ F05, F14</t>
        </is>
      </c>
    </row>
    <row r="6" ht="29.25" customHeight="1" s="25">
      <c r="A6" s="39" t="inlineStr">
        <is>
          <t>앱 폴더</t>
        </is>
      </c>
      <c r="B6" s="40" t="inlineStr">
        <is>
          <t>팀원 A</t>
        </is>
      </c>
      <c r="C6" s="34" t="inlineStr">
        <is>
          <t>C05</t>
        </is>
      </c>
      <c r="D6" s="34" t="inlineStr">
        <is>
          <t>bookmarks</t>
        </is>
      </c>
      <c r="E6" s="31" t="inlineStr">
        <is>
          <t>create({parentId, index?, title, url?})</t>
        </is>
      </c>
      <c r="F6" s="31" t="inlineStr">
        <is>
          <t>bookmarks</t>
        </is>
      </c>
      <c r="G6" s="31" t="inlineStr">
        <is>
          <t>url이 없으면 폴더 생성</t>
        </is>
      </c>
      <c r="H6" s="28" t="inlineStr">
        <is>
          <t>만들어진 노드</t>
        </is>
      </c>
      <c r="I6" s="28" t="inlineStr">
        <is>
          <t>정리 폴더·앱 폴더 만들기</t>
        </is>
      </c>
      <c r="J6" s="31" t="inlineStr">
        <is>
          <t>bookmarks.js</t>
        </is>
      </c>
      <c r="K6" s="31" t="inlineStr">
        <is>
          <t>folderType이 있는 최상위 폴더 바로 아래에는 만들 수 있음. 최상위(루트) 자체에는 못 만듦</t>
        </is>
      </c>
      <c r="L6" s="31" t="inlineStr">
        <is>
          <t>F03, F07, F16</t>
        </is>
      </c>
    </row>
    <row r="7" ht="72" customHeight="1" s="25">
      <c r="A7" s="39" t="inlineStr">
        <is>
          <t>정리 적용</t>
        </is>
      </c>
      <c r="B7" s="40" t="inlineStr">
        <is>
          <t>팀원 A</t>
        </is>
      </c>
      <c r="C7" s="34" t="inlineStr">
        <is>
          <t>C06</t>
        </is>
      </c>
      <c r="D7" s="34" t="inlineStr">
        <is>
          <t>bookmarks</t>
        </is>
      </c>
      <c r="E7" s="31" t="inlineStr">
        <is>
          <t>move(id, {parentId?, index?})</t>
        </is>
      </c>
      <c r="F7" s="31" t="inlineStr">
        <is>
          <t>bookmarks</t>
        </is>
      </c>
      <c r="G7" s="28" t="inlineStr">
        <is>
          <t>옮길 북마크 ID, 목적지 폴더, 순서</t>
        </is>
      </c>
      <c r="H7" s="28" t="inlineStr">
        <is>
          <t>옮겨진 노드</t>
        </is>
      </c>
      <c r="I7" s="28" t="inlineStr">
        <is>
          <t>정리 적용, 우클릭·드래그 이동, 되돌리기</t>
        </is>
      </c>
      <c r="J7" s="31" t="inlineStr">
        <is>
          <t>bookmarks.js, organize.js</t>
        </is>
      </c>
      <c r="K7" s="28" t="inlineStr">
        <is>
          <t>하나를 옮기면 같은 폴더의 뒤쪽 index가 바뀜. 되돌릴 때는 원래 index가 작은 것부터. 없는 ID면 오류. index가 목적지 폴더의 개수보다 크면 "Index out of bounds" 오류이므로 개수에 맞춰 줄임(실행 확인). 같은 폴더 안에서 뒤쪽으로 옮기면 한 칸 앞에 놓임(실행 확인)</t>
        </is>
      </c>
      <c r="L7" s="31" t="inlineStr">
        <is>
          <t>F07, F10, F13, F15, F17</t>
        </is>
      </c>
    </row>
    <row r="8" ht="15" customHeight="1" s="25">
      <c r="A8" s="39" t="inlineStr">
        <is>
          <t>앱 폴더</t>
        </is>
      </c>
      <c r="B8" s="40" t="inlineStr">
        <is>
          <t>팀원 A</t>
        </is>
      </c>
      <c r="C8" s="34" t="inlineStr">
        <is>
          <t>C07</t>
        </is>
      </c>
      <c r="D8" s="34" t="inlineStr">
        <is>
          <t>bookmarks</t>
        </is>
      </c>
      <c r="E8" s="31" t="inlineStr">
        <is>
          <t>update(id, {title?, url?})</t>
        </is>
      </c>
      <c r="F8" s="31" t="inlineStr">
        <is>
          <t>bookmarks</t>
        </is>
      </c>
      <c r="G8" s="28" t="inlineStr">
        <is>
          <t>폴더 ID, 새 이름</t>
        </is>
      </c>
      <c r="H8" s="28" t="inlineStr">
        <is>
          <t>바뀐 노드</t>
        </is>
      </c>
      <c r="I8" s="28" t="inlineStr">
        <is>
          <t>앱 폴더 이름 바꾸기</t>
        </is>
      </c>
      <c r="J8" s="31" t="inlineStr">
        <is>
          <t>bookmarks.js</t>
        </is>
      </c>
      <c r="K8" s="31" t="inlineStr">
        <is>
          <t>folderType이 있는 폴더는 바꿀 수 없음(오류)</t>
        </is>
      </c>
      <c r="L8" s="31" t="inlineStr">
        <is>
          <t>F03</t>
        </is>
      </c>
    </row>
    <row r="9" ht="29.25" customHeight="1" s="25">
      <c r="A9" s="39" t="inlineStr">
        <is>
          <t>앱 폴더</t>
        </is>
      </c>
      <c r="B9" s="40" t="inlineStr">
        <is>
          <t>팀원 A</t>
        </is>
      </c>
      <c r="C9" s="34" t="inlineStr">
        <is>
          <t>C08</t>
        </is>
      </c>
      <c r="D9" s="34" t="inlineStr">
        <is>
          <t>bookmarks</t>
        </is>
      </c>
      <c r="E9" s="31" t="inlineStr">
        <is>
          <t>remove(id)</t>
        </is>
      </c>
      <c r="F9" s="31" t="inlineStr">
        <is>
          <t>bookmarks</t>
        </is>
      </c>
      <c r="G9" s="28" t="inlineStr">
        <is>
          <t>폴더 ID</t>
        </is>
      </c>
      <c r="H9" s="28" t="inlineStr">
        <is>
          <t>없음</t>
        </is>
      </c>
      <c r="I9" s="28" t="inlineStr">
        <is>
          <t>빈 폴더 삭제</t>
        </is>
      </c>
      <c r="J9" s="31" t="inlineStr">
        <is>
          <t>bookmarks.js</t>
        </is>
      </c>
      <c r="K9" s="28" t="inlineStr">
        <is>
          <t>비어 있지 않은 폴더는 오류(실행 확인). 안의 북마크를 먼저 꺼낸 뒤 호출. removeTree()는 쓰지 않음(북마크까지 지워짐)</t>
        </is>
      </c>
      <c r="L9" s="31" t="inlineStr">
        <is>
          <t>F03, F13</t>
        </is>
      </c>
    </row>
    <row r="10" ht="23.25" customHeight="1" s="25">
      <c r="A10" s="39" t="inlineStr">
        <is>
          <t>새 북마크 정리</t>
        </is>
      </c>
      <c r="B10" s="43" t="inlineStr">
        <is>
          <t>팀원 B</t>
        </is>
      </c>
      <c r="C10" s="34" t="inlineStr">
        <is>
          <t>C09</t>
        </is>
      </c>
      <c r="D10" s="34" t="inlineStr">
        <is>
          <t>bookmarks</t>
        </is>
      </c>
      <c r="E10" s="31" t="inlineStr">
        <is>
          <t>onCreated</t>
        </is>
      </c>
      <c r="F10" s="31" t="inlineStr">
        <is>
          <t>bookmarks</t>
        </is>
      </c>
      <c r="G10" s="31" t="inlineStr">
        <is>
          <t>—</t>
        </is>
      </c>
      <c r="H10" s="31" t="inlineStr">
        <is>
          <t>(id, node)</t>
        </is>
      </c>
      <c r="I10" s="28" t="inlineStr">
        <is>
          <t>새 북마크 기록, 화면 반영</t>
        </is>
      </c>
      <c r="J10" s="31" t="inlineStr">
        <is>
          <t>background.js, render.js</t>
        </is>
      </c>
      <c r="K10" s="28" t="inlineStr">
        <is>
          <t>가져오기 중에는 대량으로 발생</t>
        </is>
      </c>
      <c r="L10" s="31" t="inlineStr">
        <is>
          <t>F01, F10</t>
        </is>
      </c>
    </row>
    <row r="11" ht="43.5" customHeight="1" s="25">
      <c r="A11" s="39" t="inlineStr">
        <is>
          <t>직접 옮김 감지</t>
        </is>
      </c>
      <c r="B11" s="43" t="inlineStr">
        <is>
          <t>팀원 B</t>
        </is>
      </c>
      <c r="C11" s="34" t="inlineStr">
        <is>
          <t>C10</t>
        </is>
      </c>
      <c r="D11" s="34" t="inlineStr">
        <is>
          <t>bookmarks</t>
        </is>
      </c>
      <c r="E11" s="31" t="inlineStr">
        <is>
          <t>onMoved</t>
        </is>
      </c>
      <c r="F11" s="31" t="inlineStr">
        <is>
          <t>bookmarks</t>
        </is>
      </c>
      <c r="G11" s="31" t="inlineStr">
        <is>
          <t>—</t>
        </is>
      </c>
      <c r="H11" s="31" t="inlineStr">
        <is>
          <t>(id, {parentId, index, oldParentId, oldIndex})</t>
        </is>
      </c>
      <c r="I11" s="28" t="inlineStr">
        <is>
          <t>직접 옮김 기록, 화면 반영</t>
        </is>
      </c>
      <c r="J11" s="31" t="inlineStr">
        <is>
          <t>background.js, render.js</t>
        </is>
      </c>
      <c r="K11" s="31" t="inlineStr">
        <is>
          <t>pendingMoves에 같은 ID·같은 목적지가 1분 안에 기록돼 있으면 직접 옮김으로 기록하지 않음. parentId와 oldParentId가 같으면(순서만 바뀜) 기록하지 않음</t>
        </is>
      </c>
      <c r="L11" s="31" t="inlineStr">
        <is>
          <t>F01, F07</t>
        </is>
      </c>
    </row>
    <row r="12" ht="15" customHeight="1" s="25">
      <c r="A12" s="39" t="inlineStr">
        <is>
          <t>북마크 동기화</t>
        </is>
      </c>
      <c r="B12" s="41" t="inlineStr">
        <is>
          <t>팀원 D</t>
        </is>
      </c>
      <c r="C12" s="34" t="inlineStr">
        <is>
          <t>C11</t>
        </is>
      </c>
      <c r="D12" s="34" t="inlineStr">
        <is>
          <t>bookmarks</t>
        </is>
      </c>
      <c r="E12" s="31" t="inlineStr">
        <is>
          <t>onChanged</t>
        </is>
      </c>
      <c r="F12" s="31" t="inlineStr">
        <is>
          <t>bookmarks</t>
        </is>
      </c>
      <c r="G12" s="31" t="inlineStr">
        <is>
          <t>—</t>
        </is>
      </c>
      <c r="H12" s="31" t="inlineStr">
        <is>
          <t>(id, {title, url?})</t>
        </is>
      </c>
      <c r="I12" s="28" t="inlineStr">
        <is>
          <t>제목·주소 변경을 화면에 반영</t>
        </is>
      </c>
      <c r="J12" s="31" t="inlineStr">
        <is>
          <t>render.js</t>
        </is>
      </c>
      <c r="K12" s="28" t="n"/>
      <c r="L12" s="31" t="inlineStr">
        <is>
          <t>F01</t>
        </is>
      </c>
    </row>
    <row r="13" ht="29.25" customHeight="1" s="25">
      <c r="A13" s="39" t="inlineStr">
        <is>
          <t>북마크 동기화</t>
        </is>
      </c>
      <c r="B13" s="43" t="inlineStr">
        <is>
          <t>팀원 B</t>
        </is>
      </c>
      <c r="C13" s="34" t="inlineStr">
        <is>
          <t>C12</t>
        </is>
      </c>
      <c r="D13" s="34" t="inlineStr">
        <is>
          <t>bookmarks</t>
        </is>
      </c>
      <c r="E13" s="31" t="inlineStr">
        <is>
          <t>onRemoved</t>
        </is>
      </c>
      <c r="F13" s="31" t="inlineStr">
        <is>
          <t>bookmarks</t>
        </is>
      </c>
      <c r="G13" s="31" t="inlineStr">
        <is>
          <t>—</t>
        </is>
      </c>
      <c r="H13" s="31" t="inlineStr">
        <is>
          <t>(id, {parentId, index, node})</t>
        </is>
      </c>
      <c r="I13" s="28" t="inlineStr">
        <is>
          <t>화면 반영, 저장 항목에서 ID 정리</t>
        </is>
      </c>
      <c r="J13" s="31" t="inlineStr">
        <is>
          <t>background.js, render.js</t>
        </is>
      </c>
      <c r="K13" s="28" t="inlineStr">
        <is>
          <t>폴더가 통째로 지워지면 알림은 폴더 것 하나만 오고 안의 북마크는 node.children에 들어 있음(실행 확인). 그 ID도 함께 정리</t>
        </is>
      </c>
      <c r="L13" s="31" t="inlineStr">
        <is>
          <t>F01, F08</t>
        </is>
      </c>
    </row>
    <row r="14" ht="15" customHeight="1" s="25">
      <c r="A14" s="39" t="inlineStr">
        <is>
          <t>북마크 동기화</t>
        </is>
      </c>
      <c r="B14" s="43" t="inlineStr">
        <is>
          <t>팀원 B</t>
        </is>
      </c>
      <c r="C14" s="34" t="inlineStr">
        <is>
          <t>C13</t>
        </is>
      </c>
      <c r="D14" s="34" t="inlineStr">
        <is>
          <t>bookmarks</t>
        </is>
      </c>
      <c r="E14" s="31" t="inlineStr">
        <is>
          <t>onImportBegan / onImportEnded</t>
        </is>
      </c>
      <c r="F14" s="31" t="inlineStr">
        <is>
          <t>bookmarks</t>
        </is>
      </c>
      <c r="G14" s="31" t="inlineStr">
        <is>
          <t>—</t>
        </is>
      </c>
      <c r="H14" s="28" t="inlineStr">
        <is>
          <t>없음</t>
        </is>
      </c>
      <c r="I14" s="28" t="inlineStr">
        <is>
          <t>가져오기 중 onCreated 처리 멈춤</t>
        </is>
      </c>
      <c r="J14" s="31" t="inlineStr">
        <is>
          <t>background.js</t>
        </is>
      </c>
      <c r="K14" s="28" t="inlineStr">
        <is>
          <t>끝난 뒤 getTree()로 한 번만 다시 읽음</t>
        </is>
      </c>
      <c r="L14" s="31" t="inlineStr">
        <is>
          <t>F01</t>
        </is>
      </c>
    </row>
    <row r="15" ht="23.25" customHeight="1" s="25">
      <c r="A15" s="39" t="inlineStr">
        <is>
          <t>저장 항목</t>
        </is>
      </c>
      <c r="B15" s="40" t="inlineStr">
        <is>
          <t>팀원 A</t>
        </is>
      </c>
      <c r="C15" s="34" t="inlineStr">
        <is>
          <t>C14</t>
        </is>
      </c>
      <c r="D15" s="34" t="inlineStr">
        <is>
          <t>storage</t>
        </is>
      </c>
      <c r="E15" s="31" t="inlineStr">
        <is>
          <t>local.get(keys)</t>
        </is>
      </c>
      <c r="F15" s="31" t="inlineStr">
        <is>
          <t>storage</t>
        </is>
      </c>
      <c r="G15" s="28" t="inlineStr">
        <is>
          <t>키 이름 또는 배열</t>
        </is>
      </c>
      <c r="H15" s="31" t="inlineStr">
        <is>
          <t>{키: 값}</t>
        </is>
      </c>
      <c r="I15" s="28" t="inlineStr">
        <is>
          <t>저장 항목 읽기</t>
        </is>
      </c>
      <c r="J15" s="31" t="inlineStr">
        <is>
          <t>store.js</t>
        </is>
      </c>
      <c r="K15" s="28" t="inlineStr">
        <is>
          <t>값이 없으면 키가 빠진 채로 옴. 기본값을 store.js에서 채움</t>
        </is>
      </c>
      <c r="L15" s="31" t="inlineStr">
        <is>
          <t>F04, F07 ~ F10, F13</t>
        </is>
      </c>
    </row>
    <row r="16" ht="43.5" customHeight="1" s="25">
      <c r="A16" s="39" t="inlineStr">
        <is>
          <t>저장 항목</t>
        </is>
      </c>
      <c r="B16" s="40" t="inlineStr">
        <is>
          <t>팀원 A</t>
        </is>
      </c>
      <c r="C16" s="34" t="inlineStr">
        <is>
          <t>C15</t>
        </is>
      </c>
      <c r="D16" s="34" t="inlineStr">
        <is>
          <t>storage</t>
        </is>
      </c>
      <c r="E16" s="31" t="inlineStr">
        <is>
          <t>local.set({키: 값})</t>
        </is>
      </c>
      <c r="F16" s="31" t="inlineStr">
        <is>
          <t>storage</t>
        </is>
      </c>
      <c r="G16" s="28" t="inlineStr">
        <is>
          <t>저장할 값</t>
        </is>
      </c>
      <c r="H16" s="28" t="inlineStr">
        <is>
          <t>없음</t>
        </is>
      </c>
      <c r="I16" s="28" t="inlineStr">
        <is>
          <t>저장 항목 쓰기</t>
        </is>
      </c>
      <c r="J16" s="31" t="inlineStr">
        <is>
          <t>store.js</t>
        </is>
      </c>
      <c r="K16" s="28" t="inlineStr">
        <is>
          <t>새 탭과 서비스 워커가 같은 키를 동시에 쓰면 한쪽 값이 사라짐. 그래서 한 키는 한쪽만 쓴다(참고_저장 항목 시트). 같은 쪽 안에서는 읽고 → 고치고 → 쓰기를 store.js의 한 함수로 묶어 순서대로 처리</t>
        </is>
      </c>
      <c r="L16" s="31" t="inlineStr">
        <is>
          <t>F04, F07 ~ F10, F13</t>
        </is>
      </c>
    </row>
    <row r="17" ht="29.25" customHeight="1" s="25">
      <c r="A17" s="39" t="inlineStr">
        <is>
          <t>저장 항목</t>
        </is>
      </c>
      <c r="B17" s="41" t="inlineStr">
        <is>
          <t>팀원 D</t>
        </is>
      </c>
      <c r="C17" s="34" t="inlineStr">
        <is>
          <t>C16</t>
        </is>
      </c>
      <c r="D17" s="34" t="inlineStr">
        <is>
          <t>storage</t>
        </is>
      </c>
      <c r="E17" s="31" t="inlineStr">
        <is>
          <t>onChanged</t>
        </is>
      </c>
      <c r="F17" s="31" t="inlineStr">
        <is>
          <t>storage</t>
        </is>
      </c>
      <c r="G17" s="31" t="inlineStr">
        <is>
          <t>—</t>
        </is>
      </c>
      <c r="H17" s="31" t="inlineStr">
        <is>
          <t>(changes, areaName)</t>
        </is>
      </c>
      <c r="I17" s="28" t="inlineStr">
        <is>
          <t>서비스 워커가 쓴 값을 새 탭이 알아채 화면 갱신</t>
        </is>
      </c>
      <c r="J17" s="31" t="inlineStr">
        <is>
          <t>render.js</t>
        </is>
      </c>
      <c r="K17" s="31" t="inlineStr">
        <is>
          <t>areaName이 "local"일 때만 처리</t>
        </is>
      </c>
      <c r="L17" s="31" t="inlineStr">
        <is>
          <t>F01, F10</t>
        </is>
      </c>
    </row>
    <row r="18" ht="29.25" customHeight="1" s="25">
      <c r="A18" s="39" t="inlineStr">
        <is>
          <t>웹 검색</t>
        </is>
      </c>
      <c r="B18" s="41" t="inlineStr">
        <is>
          <t>팀원 D</t>
        </is>
      </c>
      <c r="C18" s="34" t="inlineStr">
        <is>
          <t>C17</t>
        </is>
      </c>
      <c r="D18" s="34" t="inlineStr">
        <is>
          <t>search</t>
        </is>
      </c>
      <c r="E18" s="31" t="inlineStr">
        <is>
          <t>query({text, disposition})</t>
        </is>
      </c>
      <c r="F18" s="31" t="inlineStr">
        <is>
          <t>search</t>
        </is>
      </c>
      <c r="G18" s="28" t="inlineStr">
        <is>
          <t>검색어, "CURRENT_TAB"</t>
        </is>
      </c>
      <c r="H18" s="28" t="inlineStr">
        <is>
          <t>없음</t>
        </is>
      </c>
      <c r="I18" s="28" t="inlineStr">
        <is>
          <t>크롬 기본 검색엔진으로 검색</t>
        </is>
      </c>
      <c r="J18" s="31" t="inlineStr">
        <is>
          <t>search.js</t>
        </is>
      </c>
      <c r="K18" s="31" t="inlineStr">
        <is>
          <t>text가 빈 문자열이면 "Empty text parameter" 오류(실행 확인)이므로 호출하지 않음</t>
        </is>
      </c>
      <c r="L18" s="31" t="inlineStr">
        <is>
          <t>F11</t>
        </is>
      </c>
    </row>
    <row r="19" ht="29.25" customHeight="1" s="25">
      <c r="A19" s="39" t="inlineStr">
        <is>
          <t>앱 표시·열기</t>
        </is>
      </c>
      <c r="B19" s="40" t="inlineStr">
        <is>
          <t>팀원 A</t>
        </is>
      </c>
      <c r="C19" s="34" t="inlineStr">
        <is>
          <t>C18</t>
        </is>
      </c>
      <c r="D19" s="34" t="inlineStr">
        <is>
          <t>tabs</t>
        </is>
      </c>
      <c r="E19" s="31" t="inlineStr">
        <is>
          <t>update({url}) / create({url})</t>
        </is>
      </c>
      <c r="F19" s="28" t="inlineStr">
        <is>
          <t>없음</t>
        </is>
      </c>
      <c r="G19" s="28" t="inlineStr">
        <is>
          <t>열 주소</t>
        </is>
      </c>
      <c r="H19" s="31" t="inlineStr">
        <is>
          <t>Tab</t>
        </is>
      </c>
      <c r="I19" s="28" t="inlineStr">
        <is>
          <t>주소 입력 이동, chrome://·file:// 북마크 열기, 새 탭에서 열기</t>
        </is>
      </c>
      <c r="J19" s="31" t="inlineStr">
        <is>
          <t>bookmarks.js, search.js</t>
        </is>
      </c>
      <c r="K19" s="28" t="inlineStr">
        <is>
          <t>주소만 넘기는 용도는 tabs 권한이 필요 없음</t>
        </is>
      </c>
      <c r="L19" s="31" t="inlineStr">
        <is>
          <t>F02, F11, F15</t>
        </is>
      </c>
    </row>
    <row r="20" ht="86.25" customHeight="1" s="25">
      <c r="A20" s="39" t="inlineStr">
        <is>
          <t>고정 제안</t>
        </is>
      </c>
      <c r="B20" s="41" t="inlineStr">
        <is>
          <t>팀원 D</t>
        </is>
      </c>
      <c r="C20" s="34" t="inlineStr">
        <is>
          <t>C19</t>
        </is>
      </c>
      <c r="D20" s="34" t="inlineStr">
        <is>
          <t>permissions</t>
        </is>
      </c>
      <c r="E20" s="31" t="inlineStr">
        <is>
          <t>request({permissions: ["topSites"]})</t>
        </is>
      </c>
      <c r="F20" s="28" t="inlineStr">
        <is>
          <t>선택 권한: topSites</t>
        </is>
      </c>
      <c r="G20" s="31" t="inlineStr">
        <is>
          <t>—</t>
        </is>
      </c>
      <c r="H20" s="28" t="inlineStr">
        <is>
          <t>허락 여부(true/false)</t>
        </is>
      </c>
      <c r="I20" s="31" t="inlineStr">
        <is>
          <t>[고정하기]를 누를 때 권한 요청</t>
        </is>
      </c>
      <c r="J20" s="31" t="inlineStr">
        <is>
          <t>view/cards.js</t>
        </is>
      </c>
      <c r="K20" s="31" t="inlineStr">
        <is>
          <t>view/cards.js가 요청하고 결과(목록)만 plan.js의 pickPinCandidates에 넘긴다. plan.js는 크롬 API를 부르지 않는다. 반드시 클릭 핸들러 안에서 바로 호출(그 전에 await가 있으면 실패). 거절하면 false. 허락 전에는 chrome.topSites 자체가 없음(실행 확인). 허락하면 true, 거절하면 false(실행 확인 v4). 허락 직후 새로고침 없이 chrome.topSites를 쓸 수 있음</t>
        </is>
      </c>
      <c r="L20" s="31" t="inlineStr">
        <is>
          <t>F09</t>
        </is>
      </c>
    </row>
    <row r="21" ht="23.25" customHeight="1" s="25">
      <c r="A21" s="39" t="inlineStr">
        <is>
          <t>고정 제안</t>
        </is>
      </c>
      <c r="B21" s="41" t="inlineStr">
        <is>
          <t>팀원 D</t>
        </is>
      </c>
      <c r="C21" s="34" t="inlineStr">
        <is>
          <t>C20</t>
        </is>
      </c>
      <c r="D21" s="34" t="inlineStr">
        <is>
          <t>permissions</t>
        </is>
      </c>
      <c r="E21" s="31" t="inlineStr">
        <is>
          <t>contains({permissions: ["topSites"]})</t>
        </is>
      </c>
      <c r="F21" s="28" t="inlineStr">
        <is>
          <t>없음</t>
        </is>
      </c>
      <c r="G21" s="31" t="inlineStr">
        <is>
          <t>—</t>
        </is>
      </c>
      <c r="H21" s="31" t="inlineStr">
        <is>
          <t>true/false</t>
        </is>
      </c>
      <c r="I21" s="28" t="inlineStr">
        <is>
          <t>이미 허락했는지 확인</t>
        </is>
      </c>
      <c r="J21" s="31" t="inlineStr">
        <is>
          <t>view/cards.js</t>
        </is>
      </c>
      <c r="K21" s="28" t="n"/>
      <c r="L21" s="31" t="inlineStr">
        <is>
          <t>F09</t>
        </is>
      </c>
    </row>
    <row r="22" ht="43.5" customHeight="1" s="25">
      <c r="A22" s="39" t="inlineStr">
        <is>
          <t>고정 제안</t>
        </is>
      </c>
      <c r="B22" s="41" t="inlineStr">
        <is>
          <t>팀원 D</t>
        </is>
      </c>
      <c r="C22" s="34" t="inlineStr">
        <is>
          <t>C21</t>
        </is>
      </c>
      <c r="D22" s="34" t="inlineStr">
        <is>
          <t>topSites</t>
        </is>
      </c>
      <c r="E22" s="31" t="inlineStr">
        <is>
          <t>get()</t>
        </is>
      </c>
      <c r="F22" s="28" t="inlineStr">
        <is>
          <t>선택 권한: topSites</t>
        </is>
      </c>
      <c r="G22" s="28" t="inlineStr">
        <is>
          <t>없음</t>
        </is>
      </c>
      <c r="H22" s="31" t="inlineStr">
        <is>
          <t>[{url, title}, …] (최대 10개쯤)</t>
        </is>
      </c>
      <c r="I22" s="28" t="inlineStr">
        <is>
          <t>자주 방문한 사이트 목록 읽기 (비교는 plan.js가 계산)</t>
        </is>
      </c>
      <c r="J22" s="31" t="inlineStr">
        <is>
          <t>view/cards.js</t>
        </is>
      </c>
      <c r="K22" s="28" t="inlineStr">
        <is>
          <t>방문 기록을 지웠으면 빈 배열. 결과를 저장하지 않음. 실행 확인(v4): 목록에 확장 프로그램 자신의 새 탭 주소(chrome-extension://…)가 들어 있으므로 http·https 주소만 사용</t>
        </is>
      </c>
      <c r="L22" s="31" t="inlineStr">
        <is>
          <t>F09</t>
        </is>
      </c>
    </row>
    <row r="23" ht="43.5" customHeight="1" s="25">
      <c r="A23" s="39" t="inlineStr">
        <is>
          <t>앱 표시·열기</t>
        </is>
      </c>
      <c r="B23" s="40" t="inlineStr">
        <is>
          <t>팀원 A</t>
        </is>
      </c>
      <c r="C23" s="34" t="inlineStr">
        <is>
          <t>C22</t>
        </is>
      </c>
      <c r="D23" s="34" t="inlineStr">
        <is>
          <t>favicon</t>
        </is>
      </c>
      <c r="E23" s="31" t="inlineStr">
        <is>
          <t>runtime.getURL("/_favicon/") + ?pageUrl=…&amp;size=32</t>
        </is>
      </c>
      <c r="F23" s="31" t="inlineStr">
        <is>
          <t>favicon</t>
        </is>
      </c>
      <c r="G23" s="28" t="inlineStr">
        <is>
          <t>북마크 주소, 크기</t>
        </is>
      </c>
      <c r="H23" s="28" t="inlineStr">
        <is>
          <t>이미지 주소</t>
        </is>
      </c>
      <c r="I23" s="28" t="inlineStr">
        <is>
          <t>사이트 아이콘 표시</t>
        </is>
      </c>
      <c r="J23" s="31" t="inlineStr">
        <is>
          <t>bookmarks.js</t>
        </is>
      </c>
      <c r="K23" s="28" t="inlineStr">
        <is>
          <t>파비콘이 없으면 오류가 아니라 기본 그림이 오고, 그 그림은 어느 주소든 똑같음(실행 확인). 사이트가 아닌 페이지 주소 단위로 찾음. 대부분 16~32px</t>
        </is>
      </c>
      <c r="L23" s="31" t="inlineStr">
        <is>
          <t>F02, F14</t>
        </is>
      </c>
    </row>
  </sheetData>
  <autoFilter ref="A1:L2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4" min="1" max="1"/>
    <col width="9" customWidth="1" style="24" min="2" max="2"/>
    <col width="6" customWidth="1" style="24" min="3" max="3"/>
    <col width="13" customWidth="1" style="24" min="4" max="4"/>
    <col width="30" customWidth="1" style="24" min="5" max="5"/>
    <col width="28" customWidth="1" style="24" min="6" max="6"/>
    <col width="36" customWidth="1" style="24" min="7" max="7"/>
    <col width="44" customWidth="1" style="24" min="8" max="8"/>
    <col width="14" customWidth="1" style="24" min="9" max="9"/>
    <col width="20" customWidth="1" style="24" min="10" max="10"/>
    <col width="44" customWidth="1" style="24" min="11" max="11"/>
    <col width="14" customWidth="1" style="24" min="12" max="12"/>
    <col width="11" customWidth="1" style="24" min="13" max="13"/>
  </cols>
  <sheetData>
    <row r="1" ht="29.25" customHeight="1" s="25">
      <c r="A1" s="33" t="inlineStr">
        <is>
          <t>도메인</t>
        </is>
      </c>
      <c r="B1" s="33" t="inlineStr">
        <is>
          <t>담당(안)</t>
        </is>
      </c>
      <c r="C1" s="46" t="inlineStr">
        <is>
          <t>ID</t>
        </is>
      </c>
      <c r="D1" s="33" t="inlineStr">
        <is>
          <t>파일</t>
        </is>
      </c>
      <c r="E1" s="33" t="inlineStr">
        <is>
          <t>함수</t>
        </is>
      </c>
      <c r="F1" s="33" t="inlineStr">
        <is>
          <t>입력</t>
        </is>
      </c>
      <c r="G1" s="33" t="inlineStr">
        <is>
          <t>출력</t>
        </is>
      </c>
      <c r="H1" s="33" t="inlineStr">
        <is>
          <t>동작</t>
        </is>
      </c>
      <c r="I1" s="33" t="inlineStr">
        <is>
          <t>크롬 북마크 변경</t>
        </is>
      </c>
      <c r="J1" s="33" t="inlineStr">
        <is>
          <t>저장소 쓰기</t>
        </is>
      </c>
      <c r="K1" s="33" t="inlineStr">
        <is>
          <t>예외 처리 · 주의</t>
        </is>
      </c>
      <c r="L1" s="33" t="inlineStr">
        <is>
          <t>관련 기능</t>
        </is>
      </c>
      <c r="M1" s="33" t="inlineStr">
        <is>
          <t>관련 이슈</t>
        </is>
      </c>
    </row>
    <row r="2" ht="72" customHeight="1" s="25">
      <c r="A2" s="39" t="inlineStr">
        <is>
          <t>북마크 동기화</t>
        </is>
      </c>
      <c r="B2" s="40" t="inlineStr">
        <is>
          <t>팀원 A</t>
        </is>
      </c>
      <c r="C2" s="34" t="inlineStr">
        <is>
          <t>N01</t>
        </is>
      </c>
      <c r="D2" s="31" t="inlineStr">
        <is>
          <t>bookmarks.js</t>
        </is>
      </c>
      <c r="E2" s="31" t="inlineStr">
        <is>
          <t>loadTree()</t>
        </is>
      </c>
      <c r="F2" s="28" t="inlineStr">
        <is>
          <t>없음</t>
        </is>
      </c>
      <c r="G2" s="31" t="inlineStr">
        <is>
          <t>{ roots: {bar, other, mobile}, bookmarks: [...], folders: [...] }</t>
        </is>
      </c>
      <c r="H2" s="28" t="inlineStr">
        <is>
          <t>크롬 북마크를 읽어 화면과 규칙이 쓰기 쉬운 목록으로 바꿈. 각 북마크에 들어 있는 폴더와 최상위 폴더 종류를 붙임</t>
        </is>
      </c>
      <c r="I2" s="28" t="inlineStr">
        <is>
          <t>없음</t>
        </is>
      </c>
      <c r="J2" s="28" t="inlineStr">
        <is>
          <t>없음</t>
        </is>
      </c>
      <c r="K2" s="28" t="inlineStr">
        <is>
          <t>기타 북마크가 두 개면 syncing이 true인 쪽을 roots.other로 돌려줌. 북마크바가 두 개로 보이는 경우도 같은 방식으로 roots.bar를 정함(v9, 개발 첫 주에 확인). 모바일 북마크 폴더가 없으면 roots.mobile은 null</t>
        </is>
      </c>
      <c r="L2" s="31" t="inlineStr">
        <is>
          <t>F01</t>
        </is>
      </c>
      <c r="M2" s="31" t="inlineStr">
        <is>
          <t>#2</t>
        </is>
      </c>
    </row>
    <row r="3" ht="29.25" customHeight="1" s="25">
      <c r="A3" s="39" t="inlineStr">
        <is>
          <t>앱 폴더</t>
        </is>
      </c>
      <c r="B3" s="40" t="inlineStr">
        <is>
          <t>팀원 A</t>
        </is>
      </c>
      <c r="C3" s="34" t="inlineStr">
        <is>
          <t>N02</t>
        </is>
      </c>
      <c r="D3" s="31" t="inlineStr">
        <is>
          <t>bookmarks.js</t>
        </is>
      </c>
      <c r="E3" s="31" t="inlineStr">
        <is>
          <t>createFolder(name, parentId)</t>
        </is>
      </c>
      <c r="F3" s="28" t="inlineStr">
        <is>
          <t>폴더 이름, 상위 폴더 ID</t>
        </is>
      </c>
      <c r="G3" s="28" t="inlineStr">
        <is>
          <t>폴더 노드</t>
        </is>
      </c>
      <c r="H3" s="28" t="inlineStr">
        <is>
          <t>같은 이름의 폴더가 상위 폴더 안에 있으면 그 폴더를, 없으면 새로 만들어 돌려줌</t>
        </is>
      </c>
      <c r="I3" s="28" t="inlineStr">
        <is>
          <t>폴더 생성</t>
        </is>
      </c>
      <c r="J3" s="28" t="inlineStr">
        <is>
          <t>없음</t>
        </is>
      </c>
      <c r="K3" s="28" t="inlineStr">
        <is>
          <t>이름이 비어 있으면 오류를 던짐</t>
        </is>
      </c>
      <c r="L3" s="31" t="inlineStr">
        <is>
          <t>F03, F07</t>
        </is>
      </c>
      <c r="M3" s="31" t="inlineStr">
        <is>
          <t>#2</t>
        </is>
      </c>
    </row>
    <row r="4" ht="29.25" customHeight="1" s="25">
      <c r="A4" s="39" t="inlineStr">
        <is>
          <t>정리 적용</t>
        </is>
      </c>
      <c r="B4" s="40" t="inlineStr">
        <is>
          <t>팀원 A</t>
        </is>
      </c>
      <c r="C4" s="34" t="inlineStr">
        <is>
          <t>N03</t>
        </is>
      </c>
      <c r="D4" s="31" t="inlineStr">
        <is>
          <t>bookmarks.js</t>
        </is>
      </c>
      <c r="E4" s="31" t="inlineStr">
        <is>
          <t>moveBookmark(id, parentId, index?)</t>
        </is>
      </c>
      <c r="F4" s="28" t="inlineStr">
        <is>
          <t>북마크 ID, 목적지 폴더, 순서</t>
        </is>
      </c>
      <c r="G4" s="28" t="inlineStr">
        <is>
          <t>옮겨진 노드 또는 null</t>
        </is>
      </c>
      <c r="H4" s="28" t="inlineStr">
        <is>
          <t>북마크 하나를 옮김</t>
        </is>
      </c>
      <c r="I4" s="28" t="inlineStr">
        <is>
          <t>이동</t>
        </is>
      </c>
      <c r="J4" s="28" t="inlineStr">
        <is>
          <t>없음</t>
        </is>
      </c>
      <c r="K4" s="28" t="inlineStr">
        <is>
          <t>북마크가 없으면 null을 돌려줌(오류를 던지지 않음)</t>
        </is>
      </c>
      <c r="L4" s="31" t="inlineStr">
        <is>
          <t>F07, F13, F15</t>
        </is>
      </c>
      <c r="M4" s="31" t="inlineStr">
        <is>
          <t>#2</t>
        </is>
      </c>
    </row>
    <row r="5" ht="29.25" customHeight="1" s="25">
      <c r="A5" s="39" t="inlineStr">
        <is>
          <t>앱 폴더</t>
        </is>
      </c>
      <c r="B5" s="40" t="inlineStr">
        <is>
          <t>팀원 A</t>
        </is>
      </c>
      <c r="C5" s="34" t="inlineStr">
        <is>
          <t>N04</t>
        </is>
      </c>
      <c r="D5" s="31" t="inlineStr">
        <is>
          <t>bookmarks.js</t>
        </is>
      </c>
      <c r="E5" s="31" t="inlineStr">
        <is>
          <t>renameFolder(id, name)</t>
        </is>
      </c>
      <c r="F5" s="28" t="inlineStr">
        <is>
          <t>폴더 ID, 새 이름</t>
        </is>
      </c>
      <c r="G5" s="28" t="inlineStr">
        <is>
          <t>바뀐 노드</t>
        </is>
      </c>
      <c r="H5" s="28" t="inlineStr">
        <is>
          <t>앱 폴더 이름 바꾸기</t>
        </is>
      </c>
      <c r="I5" s="28" t="inlineStr">
        <is>
          <t>이름 변경</t>
        </is>
      </c>
      <c r="J5" s="28" t="inlineStr">
        <is>
          <t>없음</t>
        </is>
      </c>
      <c r="K5" s="31" t="inlineStr">
        <is>
          <t>folderType이 있는 폴더, 빈 이름이면 오류</t>
        </is>
      </c>
      <c r="L5" s="31" t="inlineStr">
        <is>
          <t>F03</t>
        </is>
      </c>
      <c r="M5" s="31" t="inlineStr">
        <is>
          <t>#2</t>
        </is>
      </c>
    </row>
    <row r="6" ht="29.25" customHeight="1" s="25">
      <c r="A6" s="39" t="inlineStr">
        <is>
          <t>앱 폴더</t>
        </is>
      </c>
      <c r="B6" s="40" t="inlineStr">
        <is>
          <t>팀원 A</t>
        </is>
      </c>
      <c r="C6" s="34" t="inlineStr">
        <is>
          <t>N05</t>
        </is>
      </c>
      <c r="D6" s="31" t="inlineStr">
        <is>
          <t>bookmarks.js</t>
        </is>
      </c>
      <c r="E6" s="31" t="inlineStr">
        <is>
          <t>deleteFolderKeepChildren(id)</t>
        </is>
      </c>
      <c r="F6" s="28" t="inlineStr">
        <is>
          <t>폴더 ID</t>
        </is>
      </c>
      <c r="G6" s="28" t="inlineStr">
        <is>
          <t>꺼낸 북마크 수</t>
        </is>
      </c>
      <c r="H6" s="28" t="inlineStr">
        <is>
          <t>안의 북마크를 상위 폴더로 꺼낸 뒤 폴더만 삭제</t>
        </is>
      </c>
      <c r="I6" s="28" t="inlineStr">
        <is>
          <t>이동, 폴더 삭제</t>
        </is>
      </c>
      <c r="J6" s="31" t="inlineStr">
        <is>
          <t>pendingMoves</t>
        </is>
      </c>
      <c r="K6" s="28" t="inlineStr">
        <is>
          <t>꺼내는 이동이 직접 옮김으로 기록되지 않게 pendingMoves에 먼저 저장</t>
        </is>
      </c>
      <c r="L6" s="31" t="inlineStr">
        <is>
          <t>F03</t>
        </is>
      </c>
      <c r="M6" s="31" t="inlineStr">
        <is>
          <t>#2</t>
        </is>
      </c>
    </row>
    <row r="7" ht="43.5" customHeight="1" s="25">
      <c r="A7" s="39" t="inlineStr">
        <is>
          <t>앱 표시·열기</t>
        </is>
      </c>
      <c r="B7" s="40" t="inlineStr">
        <is>
          <t>팀원 A</t>
        </is>
      </c>
      <c r="C7" s="34" t="inlineStr">
        <is>
          <t>N06</t>
        </is>
      </c>
      <c r="D7" s="31" t="inlineStr">
        <is>
          <t>bookmarks.js</t>
        </is>
      </c>
      <c r="E7" s="31" t="inlineStr">
        <is>
          <t>openBookmark(bookmark, {newTab})</t>
        </is>
      </c>
      <c r="F7" s="28" t="inlineStr">
        <is>
          <t>북마크, 새 탭 여부</t>
        </is>
      </c>
      <c r="G7" s="28" t="inlineStr">
        <is>
          <t>없음 (javascript: 주소여서 열지 않았으면 false)</t>
        </is>
      </c>
      <c r="H7" s="28" t="inlineStr">
        <is>
          <t>연 시각을 기록한 뒤 주소를 엶. chrome://·file://은 tabs API로 엶</t>
        </is>
      </c>
      <c r="I7" s="28" t="inlineStr">
        <is>
          <t>없음</t>
        </is>
      </c>
      <c r="J7" s="31" t="inlineStr">
        <is>
          <t>lastOpenedByUs</t>
        </is>
      </c>
      <c r="K7" s="31" t="inlineStr">
        <is>
          <t>javascript: 주소면 열지 않고 false. Ctrl+클릭·가운데 클릭은 새 탭으로. 현재 탭 이동은 tabs 권한 없이 됨(실행 확인)</t>
        </is>
      </c>
      <c r="L7" s="31" t="inlineStr">
        <is>
          <t>F02, F04, F14, F15</t>
        </is>
      </c>
      <c r="M7" s="31" t="inlineStr">
        <is>
          <t>#2</t>
        </is>
      </c>
    </row>
    <row r="8" ht="57.75" customHeight="1" s="25">
      <c r="A8" s="39" t="inlineStr">
        <is>
          <t>앱 표시·열기</t>
        </is>
      </c>
      <c r="B8" s="40" t="inlineStr">
        <is>
          <t>팀원 A</t>
        </is>
      </c>
      <c r="C8" s="34" t="inlineStr">
        <is>
          <t>N07</t>
        </is>
      </c>
      <c r="D8" s="31" t="inlineStr">
        <is>
          <t>bookmarks.js</t>
        </is>
      </c>
      <c r="E8" s="31" t="inlineStr">
        <is>
          <t>faviconUrl(url, size) / hasFavicon(url)</t>
        </is>
      </c>
      <c r="F8" s="28" t="inlineStr">
        <is>
          <t>주소, 크기 / 주소</t>
        </is>
      </c>
      <c r="G8" s="28" t="inlineStr">
        <is>
          <t>이미지 주소 / 쓸 파비콘 주소 또는 null</t>
        </is>
      </c>
      <c r="H8" s="31" t="inlineStr">
        <is>
          <t>_favicon 주소 만들기 / 받은 그림이 기본 그림과 같은지 비교</t>
        </is>
      </c>
      <c r="I8" s="28" t="inlineStr">
        <is>
          <t>없음</t>
        </is>
      </c>
      <c r="J8" s="28" t="inlineStr">
        <is>
          <t>없음</t>
        </is>
      </c>
      <c r="K8" s="28" t="inlineStr">
        <is>
          <t>기본 그림은 방문한 적 없는 주소(예: https://no-favicon.invalid/)로 한 번 받아 두고 비교. 없으면 사이트 첫 페이지 주소로 한 번 더 확인</t>
        </is>
      </c>
      <c r="L8" s="31" t="inlineStr">
        <is>
          <t>F02</t>
        </is>
      </c>
      <c r="M8" s="31" t="inlineStr">
        <is>
          <t>#2</t>
        </is>
      </c>
    </row>
    <row r="9" ht="15.75" customHeight="1" s="25">
      <c r="A9" s="39" t="inlineStr">
        <is>
          <t>저장 항목</t>
        </is>
      </c>
      <c r="B9" s="40" t="inlineStr">
        <is>
          <t>팀원 A</t>
        </is>
      </c>
      <c r="C9" s="34" t="inlineStr">
        <is>
          <t>N08</t>
        </is>
      </c>
      <c r="D9" s="31" t="inlineStr">
        <is>
          <t>store.js</t>
        </is>
      </c>
      <c r="E9" s="31" t="inlineStr">
        <is>
          <t>load()</t>
        </is>
      </c>
      <c r="F9" s="28" t="inlineStr">
        <is>
          <t>없음</t>
        </is>
      </c>
      <c r="G9" s="28" t="inlineStr">
        <is>
          <t>저장 항목 전체 (없는 키는 기본값)</t>
        </is>
      </c>
      <c r="H9" s="28" t="inlineStr">
        <is>
          <t>저장 항목을 한 번에 읽음</t>
        </is>
      </c>
      <c r="I9" s="28" t="inlineStr">
        <is>
          <t>없음</t>
        </is>
      </c>
      <c r="J9" s="28" t="inlineStr">
        <is>
          <t>없음</t>
        </is>
      </c>
      <c r="K9" s="28" t="n"/>
      <c r="L9" s="28" t="inlineStr">
        <is>
          <t>전체</t>
        </is>
      </c>
      <c r="M9" s="31" t="inlineStr">
        <is>
          <t>#3</t>
        </is>
      </c>
    </row>
    <row r="10" ht="29.25" customHeight="1" s="25">
      <c r="A10" s="39" t="inlineStr">
        <is>
          <t>저장 항목</t>
        </is>
      </c>
      <c r="B10" s="40" t="inlineStr">
        <is>
          <t>팀원 A</t>
        </is>
      </c>
      <c r="C10" s="34" t="inlineStr">
        <is>
          <t>N09</t>
        </is>
      </c>
      <c r="D10" s="31" t="inlineStr">
        <is>
          <t>store.js</t>
        </is>
      </c>
      <c r="E10" s="31" t="inlineStr">
        <is>
          <t>update(key, fn)</t>
        </is>
      </c>
      <c r="F10" s="28" t="inlineStr">
        <is>
          <t>키, 값을 고치는 함수</t>
        </is>
      </c>
      <c r="G10" s="28" t="inlineStr">
        <is>
          <t>고친 값</t>
        </is>
      </c>
      <c r="H10" s="28" t="inlineStr">
        <is>
          <t>읽고 → 고치고 → 쓰기를 한 번에 처리</t>
        </is>
      </c>
      <c r="I10" s="28" t="inlineStr">
        <is>
          <t>없음</t>
        </is>
      </c>
      <c r="J10" s="28" t="inlineStr">
        <is>
          <t>해당 키</t>
        </is>
      </c>
      <c r="K10" s="28" t="inlineStr">
        <is>
          <t>같은 키를 동시에 고치지 않도록 순서대로 처리</t>
        </is>
      </c>
      <c r="L10" s="28" t="inlineStr">
        <is>
          <t>전체</t>
        </is>
      </c>
      <c r="M10" s="31" t="inlineStr">
        <is>
          <t>#3</t>
        </is>
      </c>
    </row>
    <row r="11" ht="15.75" customHeight="1" s="25">
      <c r="A11" s="39" t="inlineStr">
        <is>
          <t>재발견</t>
        </is>
      </c>
      <c r="B11" s="40" t="inlineStr">
        <is>
          <t>팀원 A</t>
        </is>
      </c>
      <c r="C11" s="34" t="inlineStr">
        <is>
          <t>N10</t>
        </is>
      </c>
      <c r="D11" s="31" t="inlineStr">
        <is>
          <t>store.js</t>
        </is>
      </c>
      <c r="E11" s="31" t="inlineStr">
        <is>
          <t>recordOpened(id)</t>
        </is>
      </c>
      <c r="F11" s="28" t="inlineStr">
        <is>
          <t>북마크 ID</t>
        </is>
      </c>
      <c r="G11" s="28" t="inlineStr">
        <is>
          <t>없음</t>
        </is>
      </c>
      <c r="H11" s="28" t="inlineStr">
        <is>
          <t>연 시각 기록</t>
        </is>
      </c>
      <c r="I11" s="28" t="inlineStr">
        <is>
          <t>없음</t>
        </is>
      </c>
      <c r="J11" s="31" t="inlineStr">
        <is>
          <t>lastOpenedByUs</t>
        </is>
      </c>
      <c r="K11" s="28" t="n"/>
      <c r="L11" s="31" t="inlineStr">
        <is>
          <t>F02, F04</t>
        </is>
      </c>
      <c r="M11" s="31" t="inlineStr">
        <is>
          <t>#3</t>
        </is>
      </c>
    </row>
    <row r="12" ht="29.25" customHeight="1" s="25">
      <c r="A12" s="39" t="inlineStr">
        <is>
          <t>고정(독)</t>
        </is>
      </c>
      <c r="B12" s="40" t="inlineStr">
        <is>
          <t>팀원 A</t>
        </is>
      </c>
      <c r="C12" s="34" t="inlineStr">
        <is>
          <t>N11</t>
        </is>
      </c>
      <c r="D12" s="31" t="inlineStr">
        <is>
          <t>store.js</t>
        </is>
      </c>
      <c r="E12" s="31" t="inlineStr">
        <is>
          <t>pin(id) / unpin(id)</t>
        </is>
      </c>
      <c r="F12" s="28" t="inlineStr">
        <is>
          <t>북마크 ID</t>
        </is>
      </c>
      <c r="G12" s="31" t="inlineStr">
        <is>
          <t>true·false / 고정 목록</t>
        </is>
      </c>
      <c r="H12" s="28" t="inlineStr">
        <is>
          <t>독에 추가·제거</t>
        </is>
      </c>
      <c r="I12" s="28" t="inlineStr">
        <is>
          <t>없음</t>
        </is>
      </c>
      <c r="J12" s="31" t="inlineStr">
        <is>
          <t>pinned</t>
        </is>
      </c>
      <c r="K12" s="28" t="inlineStr">
        <is>
          <t>이미 있으면 다시 넣지 않음. 이미 8개면 넣지 않고 false</t>
        </is>
      </c>
      <c r="L12" s="31" t="inlineStr">
        <is>
          <t>F08, F09</t>
        </is>
      </c>
      <c r="M12" s="31" t="inlineStr">
        <is>
          <t>#3</t>
        </is>
      </c>
    </row>
    <row r="13" ht="15.75" customHeight="1" s="25">
      <c r="A13" s="39" t="inlineStr">
        <is>
          <t>재발견</t>
        </is>
      </c>
      <c r="B13" s="40" t="inlineStr">
        <is>
          <t>팀원 A</t>
        </is>
      </c>
      <c r="C13" s="34" t="inlineStr">
        <is>
          <t>N12</t>
        </is>
      </c>
      <c r="D13" s="31" t="inlineStr">
        <is>
          <t>store.js</t>
        </is>
      </c>
      <c r="E13" s="31" t="inlineStr">
        <is>
          <t>dismiss(id) / undismiss(id)</t>
        </is>
      </c>
      <c r="F13" s="28" t="inlineStr">
        <is>
          <t>북마크 ID</t>
        </is>
      </c>
      <c r="G13" s="28" t="inlineStr">
        <is>
          <t>없음</t>
        </is>
      </c>
      <c r="H13" s="31" t="inlineStr">
        <is>
          <t>"이제 안 봐도 됨" 기록·취소</t>
        </is>
      </c>
      <c r="I13" s="28" t="inlineStr">
        <is>
          <t>없음</t>
        </is>
      </c>
      <c r="J13" s="31" t="inlineStr">
        <is>
          <t>dismissed</t>
        </is>
      </c>
      <c r="K13" s="28" t="n"/>
      <c r="L13" s="31" t="inlineStr">
        <is>
          <t>F04</t>
        </is>
      </c>
      <c r="M13" s="31" t="inlineStr">
        <is>
          <t>#3</t>
        </is>
      </c>
    </row>
    <row r="14" ht="29.25" customHeight="1" s="25">
      <c r="A14" s="39" t="inlineStr">
        <is>
          <t>직접 옮김 감지</t>
        </is>
      </c>
      <c r="B14" s="40" t="inlineStr">
        <is>
          <t>팀원 A</t>
        </is>
      </c>
      <c r="C14" s="34" t="inlineStr">
        <is>
          <t>N13</t>
        </is>
      </c>
      <c r="D14" s="31" t="inlineStr">
        <is>
          <t>store.js</t>
        </is>
      </c>
      <c r="E14" s="31" t="inlineStr">
        <is>
          <t>markManualMove(id)</t>
        </is>
      </c>
      <c r="F14" s="28" t="inlineStr">
        <is>
          <t>북마크 ID</t>
        </is>
      </c>
      <c r="G14" s="28" t="inlineStr">
        <is>
          <t>없음</t>
        </is>
      </c>
      <c r="H14" s="28" t="inlineStr">
        <is>
          <t>직접 옮김 기록</t>
        </is>
      </c>
      <c r="I14" s="28" t="inlineStr">
        <is>
          <t>없음</t>
        </is>
      </c>
      <c r="J14" s="31" t="inlineStr">
        <is>
          <t>manualMoves</t>
        </is>
      </c>
      <c r="K14" s="28" t="inlineStr">
        <is>
          <t>서비스 워커만 호출 (새 탭은 호출하지 않음)</t>
        </is>
      </c>
      <c r="L14" s="31" t="inlineStr">
        <is>
          <t>F07, F15, F17</t>
        </is>
      </c>
      <c r="M14" s="31" t="inlineStr">
        <is>
          <t>#3</t>
        </is>
      </c>
    </row>
    <row r="15" ht="57.75" customHeight="1" s="25">
      <c r="A15" s="39" t="inlineStr">
        <is>
          <t>직접 옮김 감지</t>
        </is>
      </c>
      <c r="B15" s="40" t="inlineStr">
        <is>
          <t>팀원 A</t>
        </is>
      </c>
      <c r="C15" s="34" t="inlineStr">
        <is>
          <t>N14</t>
        </is>
      </c>
      <c r="D15" s="31" t="inlineStr">
        <is>
          <t>store.js</t>
        </is>
      </c>
      <c r="E15" s="31" t="inlineStr">
        <is>
          <t>setPending(moves) / isPending(id, parentId)</t>
        </is>
      </c>
      <c r="F15" s="31" t="inlineStr">
        <is>
          <t>[{ id: 북마크ID, toParentId: 목적지 폴더ID }] / 북마크 ID, 옮겨진 폴더</t>
        </is>
      </c>
      <c r="G15" s="28" t="inlineStr">
        <is>
          <t>없음 / true·false</t>
        </is>
      </c>
      <c r="H15" s="28" t="inlineStr">
        <is>
          <t>우리 정리가 옮길 북마크를 목적지·시각과 함께 표시 / 그 이동이 우리 것인지 확인</t>
        </is>
      </c>
      <c r="I15" s="28" t="inlineStr">
        <is>
          <t>없음</t>
        </is>
      </c>
      <c r="J15" s="31" t="inlineStr">
        <is>
          <t>pendingMoves (setPending만)</t>
        </is>
      </c>
      <c r="K15" s="31" t="inlineStr">
        <is>
          <t>setPending은 새 탭만, isPending은 서비스 워커만 호출. 표시는 지우지 않고 1분 뒤 만료. setPending 때 만료된 항목을 함께 지움. 반드시 저장이 끝난 뒤(await) 옮기기 시작. ID는 문자열로 맞춤. 항목에 id나 toParentId가 없으면 오류.</t>
        </is>
      </c>
      <c r="L15" s="31" t="inlineStr">
        <is>
          <t>F07, F13</t>
        </is>
      </c>
      <c r="M15" s="31" t="inlineStr">
        <is>
          <t>#3</t>
        </is>
      </c>
    </row>
    <row r="16" ht="29.25" customHeight="1" s="25">
      <c r="A16" s="39" t="inlineStr">
        <is>
          <t>되돌리기·정리 기록</t>
        </is>
      </c>
      <c r="B16" s="40" t="inlineStr">
        <is>
          <t>팀원 A</t>
        </is>
      </c>
      <c r="C16" s="34" t="inlineStr">
        <is>
          <t>N15</t>
        </is>
      </c>
      <c r="D16" s="31" t="inlineStr">
        <is>
          <t>store.js</t>
        </is>
      </c>
      <c r="E16" s="31" t="inlineStr">
        <is>
          <t>addHistory(entry) / markUndone(historyId)</t>
        </is>
      </c>
      <c r="F16" s="28" t="inlineStr">
        <is>
          <t>정리 기록 한 건 / 기록 ID</t>
        </is>
      </c>
      <c r="G16" s="28" t="inlineStr">
        <is>
          <t>없음</t>
        </is>
      </c>
      <c r="H16" s="28" t="inlineStr">
        <is>
          <t>정리 기록 추가, 되돌린 시각 기록</t>
        </is>
      </c>
      <c r="I16" s="28" t="inlineStr">
        <is>
          <t>없음</t>
        </is>
      </c>
      <c r="J16" s="31" t="inlineStr">
        <is>
          <t>history</t>
        </is>
      </c>
      <c r="K16" s="28" t="n"/>
      <c r="L16" s="31" t="inlineStr">
        <is>
          <t>F07, F13</t>
        </is>
      </c>
      <c r="M16" s="31" t="inlineStr">
        <is>
          <t>#3</t>
        </is>
      </c>
    </row>
    <row r="17" ht="45.75" customHeight="1" s="25">
      <c r="A17" s="39" t="inlineStr">
        <is>
          <t>저장 항목</t>
        </is>
      </c>
      <c r="B17" s="40" t="inlineStr">
        <is>
          <t>팀원 A</t>
        </is>
      </c>
      <c r="C17" s="34" t="inlineStr">
        <is>
          <t>N16</t>
        </is>
      </c>
      <c r="D17" s="31" t="inlineStr">
        <is>
          <t>store.js</t>
        </is>
      </c>
      <c r="E17" s="31" t="inlineStr">
        <is>
          <t>cleanupMissing(tree)</t>
        </is>
      </c>
      <c r="F17" s="28" t="inlineStr">
        <is>
          <t>북마크 목록</t>
        </is>
      </c>
      <c r="G17" s="28" t="inlineStr">
        <is>
          <t>지운 개수</t>
        </is>
      </c>
      <c r="H17" s="28" t="inlineStr">
        <is>
          <t>새 탭이 열릴 때, 크롬에 더 이상 없는 북마크 ID를 새 탭이 쓰는 저장 항목에서 지움</t>
        </is>
      </c>
      <c r="I17" s="28" t="inlineStr">
        <is>
          <t>없음</t>
        </is>
      </c>
      <c r="J17" s="31" t="inlineStr">
        <is>
          <t>pinned, lastOpenedByUs, dismissed, handledNew</t>
        </is>
      </c>
      <c r="K17" s="31" t="inlineStr">
        <is>
          <t>history는 지우지 않음(기록 화면에서 제목을 보여 주기 위해). 서비스 워커가 쓰는 키는 건드리지 않음</t>
        </is>
      </c>
      <c r="L17" s="31" t="inlineStr">
        <is>
          <t>F01</t>
        </is>
      </c>
      <c r="M17" s="31" t="inlineStr">
        <is>
          <t>#3</t>
        </is>
      </c>
    </row>
    <row r="18" ht="43.5" customHeight="1" s="25">
      <c r="A18" s="39" t="inlineStr">
        <is>
          <t>분류 규칙</t>
        </is>
      </c>
      <c r="B18" s="43" t="inlineStr">
        <is>
          <t>팀원 B</t>
        </is>
      </c>
      <c r="C18" s="34" t="inlineStr">
        <is>
          <t>N17</t>
        </is>
      </c>
      <c r="D18" s="31" t="inlineStr">
        <is>
          <t>classify.js</t>
        </is>
      </c>
      <c r="E18" s="31" t="inlineStr">
        <is>
          <t>classify(bookmark, categories)</t>
        </is>
      </c>
      <c r="F18" s="28" t="inlineStr">
        <is>
          <t>북마크 {title, url}, 분류표 { categories: [{ name, sites, suffixes, keywords }], noCategorySites: [] }</t>
        </is>
      </c>
      <c r="G18" s="31" t="inlineStr">
        <is>
          <t>{ category, step: "site" | "suffix" | "keyword", rule, needsCheck } 또는 { category: null }</t>
        </is>
      </c>
      <c r="H18" s="28" t="inlineStr">
        <is>
          <t>분류표 → 주소 끝 → 제목 키워드 순서로 확인해 처음 맞는 곳에서 멈춤</t>
        </is>
      </c>
      <c r="I18" s="28" t="inlineStr">
        <is>
          <t>없음</t>
        </is>
      </c>
      <c r="J18" s="28" t="inlineStr">
        <is>
          <t>없음</t>
        </is>
      </c>
      <c r="K18" s="28" t="inlineStr">
        <is>
          <t>주소를 해석할 수 없으면 { category: null }. 크롬 API를 쓰지 않는 순수 함수
v11: 주소가 noCategorySites(분류하지 않는 사이트)에 맞으면 주소 끝·제목 키워드를 보지 않고 { category: null }. 분류표 항목과 함께 비교해 더 긴 주소를 따름. 호스트 비교는 점(.) 단위(같거나 '.'+항목으로 끝남). 제목 키워드는 띄어쓰기를 없애지 않고 비교</t>
        </is>
      </c>
      <c r="L18" s="31" t="inlineStr">
        <is>
          <t>F05</t>
        </is>
      </c>
      <c r="M18" s="31" t="inlineStr">
        <is>
          <t>#7</t>
        </is>
      </c>
    </row>
    <row r="19" ht="29.25" customHeight="1" s="25">
      <c r="A19" s="39" t="inlineStr">
        <is>
          <t>분류 규칙</t>
        </is>
      </c>
      <c r="B19" s="43" t="inlineStr">
        <is>
          <t>팀원 B</t>
        </is>
      </c>
      <c r="C19" s="34" t="inlineStr">
        <is>
          <t>N18</t>
        </is>
      </c>
      <c r="D19" s="31" t="inlineStr">
        <is>
          <t>classify.js</t>
        </is>
      </c>
      <c r="E19" s="31" t="inlineStr">
        <is>
          <t>measure(samples, answers, categories)</t>
        </is>
      </c>
      <c r="F19" s="28" t="inlineStr">
        <is>
          <t>샘플 북마크, 정답지, 분류표</t>
        </is>
      </c>
      <c r="G19" s="31" t="inlineStr">
        <is>
          <t>{ coverage, accuracy, wrong } (적용률, 정확도, 틀린 목록. v11에서 이름 확정)</t>
        </is>
      </c>
      <c r="H19" s="28" t="inlineStr">
        <is>
          <t>정답지와 비교해 적용률·정확도 계산</t>
        </is>
      </c>
      <c r="I19" s="28" t="inlineStr">
        <is>
          <t>없음</t>
        </is>
      </c>
      <c r="J19" s="28" t="inlineStr">
        <is>
          <t>없음</t>
        </is>
      </c>
      <c r="K19" s="28" t="n"/>
      <c r="L19" s="31" t="inlineStr">
        <is>
          <t>F05</t>
        </is>
      </c>
      <c r="M19" s="31" t="inlineStr">
        <is>
          <t>#7</t>
        </is>
      </c>
    </row>
    <row r="20" ht="86.25" customHeight="1" s="25">
      <c r="A20" s="39" t="inlineStr">
        <is>
          <t>폴더 계획</t>
        </is>
      </c>
      <c r="B20" s="42" t="inlineStr">
        <is>
          <t>팀원 C</t>
        </is>
      </c>
      <c r="C20" s="34" t="inlineStr">
        <is>
          <t>N19</t>
        </is>
      </c>
      <c r="D20" s="31" t="inlineStr">
        <is>
          <t>plan.js</t>
        </is>
      </c>
      <c r="E20" s="31" t="inlineStr">
        <is>
          <t>getTargets(tree, stored, options, now)</t>
        </is>
      </c>
      <c r="F20" s="28" t="inlineStr">
        <is>
          <t>북마크 목록, 저장 항목, {북마크바 제외, 포함할 사용자 폴더}, 현재 시각</t>
        </is>
      </c>
      <c r="G20" s="28" t="inlineStr">
        <is>
          <t>정리 대상 북마크 배열</t>
        </is>
      </c>
      <c r="H20" s="28" t="inlineStr">
        <is>
          <t>북마크바·기타·모바일과 크롬 가져오기 폴더의 바로 아래에 흩어진 북마크를 고르고 제외 대상(사용자 폴더, 최근 30일 안에 북마크바에서 연 북마크, 직접 옮긴 북마크 등)을 뺌</t>
        </is>
      </c>
      <c r="I20" s="28" t="inlineStr">
        <is>
          <t>없음</t>
        </is>
      </c>
      <c r="J20" s="28" t="inlineStr">
        <is>
          <t>없음</t>
        </is>
      </c>
      <c r="K20" s="31" t="inlineStr">
        <is>
          <t>loadTree가 고른 북마크바·기타·모바일 북마크(roots)의 바로 아래만 대상(v9: 북마크바 포함). 요즘 쓰는 북마크는 dateLastUsed로 판단하고 now를 입력으로 받아 테스트 가능. 기타 북마크가 두 개일 때 다른 쪽은 건드리지 않음
v12: 크롬의 가져오기 폴더(roots 바로 아래에 있고 이름이 목록에 있는 폴더)는 사용자 폴더로 보지 않고, 그 바로 아래의 북마크도 대상에 넣음. 가져오기 폴더 안의 폴더는 사용자 폴더. 이름 목록은 plan.js 맨 위의 상수로 관리(언어마다 이름이 다름. 함수의 입력은 바꾸지 않음). 이름 목록: "가져온 북마크"(한국어 크롬에서 HTML 가져오기로 확인, 10월 7일). 범위(v14): 한국어 크롬의 파일 가져오기("가져온 북마크")만 다룬다. 영어 크롬의 "Imported", 다른 브라우저의 북마크를 크롬으로 가져왔을 때의 "Imported From Firefox" 같은 이름, 이름 뒤에 붙는 번호는 팀이 확인할 수 없어 다루지 않는다. 그런 폴더는 사용자 폴더로 취급되어 정리 대상에서 빠진다</t>
        </is>
      </c>
      <c r="L20" s="31" t="inlineStr">
        <is>
          <t>F05</t>
        </is>
      </c>
      <c r="M20" s="31" t="inlineStr">
        <is>
          <t>#11</t>
        </is>
      </c>
    </row>
    <row r="21" ht="43.5" customHeight="1" s="25">
      <c r="A21" s="39" t="inlineStr">
        <is>
          <t>폴더 계획</t>
        </is>
      </c>
      <c r="B21" s="42" t="inlineStr">
        <is>
          <t>팀원 C</t>
        </is>
      </c>
      <c r="C21" s="34" t="inlineStr">
        <is>
          <t>N20</t>
        </is>
      </c>
      <c r="D21" s="31" t="inlineStr">
        <is>
          <t>plan.js</t>
        </is>
      </c>
      <c r="E21" s="31" t="inlineStr">
        <is>
          <t>makePlan(targets, categories)</t>
        </is>
      </c>
      <c r="F21" s="28" t="inlineStr">
        <is>
          <t>정리 대상, 분류표</t>
        </is>
      </c>
      <c r="G21" s="31" t="inlineStr">
        <is>
          <t>{ type: "folders", folders: [{name, items, reasons}], rest } 또는 { type: "pin", reason }</t>
        </is>
      </c>
      <c r="H21" s="28" t="inlineStr">
        <is>
          <t>개수에 맞는 폴더 수를 정하고, 많은 카테고리부터 폴더로 계획</t>
        </is>
      </c>
      <c r="I21" s="28" t="inlineStr">
        <is>
          <t>없음</t>
        </is>
      </c>
      <c r="J21" s="28" t="inlineStr">
        <is>
          <t>없음</t>
        </is>
      </c>
      <c r="K21" s="31" t="inlineStr">
        <is>
          <t>10개 미만이거나 3개 이상 모인 카테고리가 없으면 type: "pin"</t>
        </is>
      </c>
      <c r="L21" s="31" t="inlineStr">
        <is>
          <t>F05, F06, F09</t>
        </is>
      </c>
      <c r="M21" s="31" t="inlineStr">
        <is>
          <t>#11</t>
        </is>
      </c>
    </row>
    <row r="22" ht="57.75" customHeight="1" s="25">
      <c r="A22" s="39" t="inlineStr">
        <is>
          <t>고정 제안</t>
        </is>
      </c>
      <c r="B22" s="42" t="inlineStr">
        <is>
          <t>팀원 C</t>
        </is>
      </c>
      <c r="C22" s="34" t="inlineStr">
        <is>
          <t>N21</t>
        </is>
      </c>
      <c r="D22" s="31" t="inlineStr">
        <is>
          <t>plan.js</t>
        </is>
      </c>
      <c r="E22" s="31" t="inlineStr">
        <is>
          <t>pickPinCandidates(bookmarks, topSites, stored)</t>
        </is>
      </c>
      <c r="F22" s="28" t="inlineStr">
        <is>
          <t>북마크, 자주 방문한 사이트(없으면 빈 배열), 저장 항목</t>
        </is>
      </c>
      <c r="G22" s="28" t="inlineStr">
        <is>
          <t>북마크 최대 5개</t>
        </is>
      </c>
      <c r="H22" s="28" t="inlineStr">
        <is>
          <t>자주 방문한 사이트와 호스트가 같은 북마크 먼저, 부족하면 최근에 연 순</t>
        </is>
      </c>
      <c r="I22" s="28" t="inlineStr">
        <is>
          <t>없음</t>
        </is>
      </c>
      <c r="J22" s="28" t="inlineStr">
        <is>
          <t>없음</t>
        </is>
      </c>
      <c r="K22" s="31" t="inlineStr">
        <is>
          <t>topSites가 비어 있으면 최근에 연 순만. http·https가 아닌 항목은 건너뜀. 연 적 없는 북마크는 후보가 아니므로 결과가 0개일 수 있음(F09-09)</t>
        </is>
      </c>
      <c r="L22" s="31" t="inlineStr">
        <is>
          <t>F09</t>
        </is>
      </c>
      <c r="M22" s="31" t="inlineStr">
        <is>
          <t>#11</t>
        </is>
      </c>
    </row>
    <row r="23" ht="100.5" customHeight="1" s="25">
      <c r="A23" s="39" t="inlineStr">
        <is>
          <t>정리 적용</t>
        </is>
      </c>
      <c r="B23" s="40" t="inlineStr">
        <is>
          <t>팀원 A</t>
        </is>
      </c>
      <c r="C23" s="34" t="inlineStr">
        <is>
          <t>N22</t>
        </is>
      </c>
      <c r="D23" s="31" t="inlineStr">
        <is>
          <t>organize.js</t>
        </is>
      </c>
      <c r="E23" s="31" t="inlineStr">
        <is>
          <t>applyPlan(plan, type)</t>
        </is>
      </c>
      <c r="F23" s="28" t="inlineStr">
        <is>
          <t>폴더 계획 { folders: [{ name 또는 folderId, items }], keep? }, "first" | "new"</t>
        </is>
      </c>
      <c r="G23" s="28" t="inlineStr">
        <is>
          <t>정리 기록 한 건 { id, at, type, createdFolderIds, moves, fromOrder, skipped }</t>
        </is>
      </c>
      <c r="H23" s="28" t="inlineStr">
        <is>
          <t>폴더를 만들고 북마크를 옮긴 뒤 기록을 저장</t>
        </is>
      </c>
      <c r="I23" s="28" t="inlineStr">
        <is>
          <t>폴더 생성, 이동</t>
        </is>
      </c>
      <c r="J23" s="31" t="inlineStr">
        <is>
          <t>pendingMoves, history, handledNew</t>
        </is>
      </c>
      <c r="K23" s="28" t="inlineStr">
        <is>
          <t>순서: ① 모든 북마크의 원래 폴더와, 원래 폴더별 전체 순서(fromOrder)를 읽어 둠 ② 북마크바(roots.bar) 맨 뒤에 폴더 생성 ③ setPending(저장 완료까지 기다림) ④ 이동 ⑤ history 저장. 옮기지 못한 북마크는 건너뛰고 skipped에 개수를 담음. '그대로 두기'로 둔 새 북마크는 handledNew에 기록</t>
        </is>
      </c>
      <c r="L23" s="31" t="inlineStr">
        <is>
          <t>F07, F10</t>
        </is>
      </c>
      <c r="M23" s="31" t="inlineStr">
        <is>
          <t>#4</t>
        </is>
      </c>
    </row>
    <row r="24" ht="86.25" customHeight="1" s="25">
      <c r="A24" s="39" t="inlineStr">
        <is>
          <t>되돌리기·정리 기록</t>
        </is>
      </c>
      <c r="B24" s="40" t="inlineStr">
        <is>
          <t>팀원 A</t>
        </is>
      </c>
      <c r="C24" s="34" t="inlineStr">
        <is>
          <t>N23</t>
        </is>
      </c>
      <c r="D24" s="31" t="inlineStr">
        <is>
          <t>organize.js</t>
        </is>
      </c>
      <c r="E24" s="31" t="inlineStr">
        <is>
          <t>undo(historyId)</t>
        </is>
      </c>
      <c r="F24" s="28" t="inlineStr">
        <is>
          <t>정리 기록 ID</t>
        </is>
      </c>
      <c r="G24" s="31" t="inlineStr">
        <is>
          <t>{ restored, skipped, fallback }</t>
        </is>
      </c>
      <c r="H24" s="28" t="inlineStr">
        <is>
          <t>원래 순서가 앞인 것부터, 원래 순서에서 바로 앞에 있던 이웃의 뒤에 끼워 넣어 되돌림</t>
        </is>
      </c>
      <c r="I24" s="28" t="inlineStr">
        <is>
          <t>이동, 빈 폴더 삭제</t>
        </is>
      </c>
      <c r="J24" s="31" t="inlineStr">
        <is>
          <t>pendingMoves, history</t>
        </is>
      </c>
      <c r="K24" s="28" t="inlineStr">
        <is>
          <t>지금 그 정리가 넣은 폴더에 없는 북마크(직접 옮김)·삭제된 북마크는 skipped, 원래 폴더가 없으면 기타 북마크로 옮기고 fallback. 앞 이웃이 하나도 없으면 맨 앞으로. 북마크별 실제 목적지(원래 폴더 또는 기타 북마크)를 먼저 정한 뒤 setPending</t>
        </is>
      </c>
      <c r="L24" s="31" t="inlineStr">
        <is>
          <t>F13</t>
        </is>
      </c>
      <c r="M24" s="31" t="inlineStr">
        <is>
          <t>#4</t>
        </is>
      </c>
    </row>
    <row r="25" ht="29.25" customHeight="1" s="25">
      <c r="A25" s="39" t="inlineStr">
        <is>
          <t>새 북마크 정리</t>
        </is>
      </c>
      <c r="B25" s="43" t="inlineStr">
        <is>
          <t>팀원 B</t>
        </is>
      </c>
      <c r="C25" s="34" t="inlineStr">
        <is>
          <t>N24</t>
        </is>
      </c>
      <c r="D25" s="31" t="inlineStr">
        <is>
          <t>classify.js</t>
        </is>
      </c>
      <c r="E25" s="31" t="inlineStr">
        <is>
          <t>suggestForNew(newBookmarks, folders, categories)</t>
        </is>
      </c>
      <c r="F25" s="28" t="inlineStr">
        <is>
          <t>새 북마크, 현재 폴더, 분류표</t>
        </is>
      </c>
      <c r="G25" s="31" t="inlineStr">
        <is>
          <t>[{ bookmarkId, folderId }] (folderId가 null이면 그대로 두기)</t>
        </is>
      </c>
      <c r="H25" s="28" t="inlineStr">
        <is>
          <t>새 북마크마다 분류해, 분류된 카테고리와 이름이 같은 폴더를 추천 폴더로 정함</t>
        </is>
      </c>
      <c r="I25" s="28" t="inlineStr">
        <is>
          <t>없음</t>
        </is>
      </c>
      <c r="J25" s="28" t="inlineStr">
        <is>
          <t>없음</t>
        </is>
      </c>
      <c r="K25" s="28" t="inlineStr">
        <is>
          <t>추천할 폴더가 없으면 folderId: null (그대로 두기). 분류되지 않았거나 같은 이름의 폴더가 없으면 null
v14: 출력은 북마크별 추천 폴더 하나뿐. 새 폴더를 만들자는 제안은 plan.js의 suggestNewFolders(N37)가 맡음. 폴더를 이름으로 찾으므로, 사용자가 폴더 이름을 바꿨으면 추천이 null(그대로 두기)이 되는 한계가 있음</t>
        </is>
      </c>
      <c r="L25" s="31" t="inlineStr">
        <is>
          <t>F10</t>
        </is>
      </c>
      <c r="M25" s="31" t="inlineStr">
        <is>
          <t>#7</t>
        </is>
      </c>
    </row>
    <row r="26" ht="29.25" customHeight="1" s="25">
      <c r="A26" s="39" t="inlineStr">
        <is>
          <t>재발견</t>
        </is>
      </c>
      <c r="B26" s="43" t="inlineStr">
        <is>
          <t>팀원 B</t>
        </is>
      </c>
      <c r="C26" s="34" t="inlineStr">
        <is>
          <t>N25</t>
        </is>
      </c>
      <c r="D26" s="31" t="inlineStr">
        <is>
          <t>forgotten.js</t>
        </is>
      </c>
      <c r="E26" s="31" t="inlineStr">
        <is>
          <t>lastOpened(bookmark, stored)</t>
        </is>
      </c>
      <c r="F26" s="28" t="inlineStr">
        <is>
          <t>북마크, 저장 항목</t>
        </is>
      </c>
      <c r="G26" s="31" t="inlineStr">
        <is>
          <t>{ time, source: "us" | "chrome" | "added" }</t>
        </is>
      </c>
      <c r="H26" s="28" t="inlineStr">
        <is>
          <t>마지막으로 연 시각과 그 출처</t>
        </is>
      </c>
      <c r="I26" s="28" t="inlineStr">
        <is>
          <t>없음</t>
        </is>
      </c>
      <c r="J26" s="28" t="inlineStr">
        <is>
          <t>없음</t>
        </is>
      </c>
      <c r="K26" s="31" t="inlineStr">
        <is>
          <t>source가 "added"이면 화면에 "연 기록 없음" 표시</t>
        </is>
      </c>
      <c r="L26" s="31" t="inlineStr">
        <is>
          <t>F04</t>
        </is>
      </c>
      <c r="M26" s="31" t="inlineStr">
        <is>
          <t>#8</t>
        </is>
      </c>
    </row>
    <row r="27" ht="29.25" customHeight="1" s="25">
      <c r="A27" s="39" t="inlineStr">
        <is>
          <t>재발견</t>
        </is>
      </c>
      <c r="B27" s="43" t="inlineStr">
        <is>
          <t>팀원 B</t>
        </is>
      </c>
      <c r="C27" s="34" t="inlineStr">
        <is>
          <t>N26</t>
        </is>
      </c>
      <c r="D27" s="31" t="inlineStr">
        <is>
          <t>forgotten.js</t>
        </is>
      </c>
      <c r="E27" s="31" t="inlineStr">
        <is>
          <t>pickForgotten(bookmarks, stored, now)</t>
        </is>
      </c>
      <c r="F27" s="28" t="inlineStr">
        <is>
          <t>북마크, 저장 항목, 현재 시각</t>
        </is>
      </c>
      <c r="G27" s="28" t="inlineStr">
        <is>
          <t>북마크 배열 (오래 안 연 순)</t>
        </is>
      </c>
      <c r="H27" s="31" t="inlineStr">
        <is>
          <t>30일 이상 안 연 북마크를 고르고 제외 대상을 뺌. 화면은 앞의 8개만 표시(v9)</t>
        </is>
      </c>
      <c r="I27" s="28" t="inlineStr">
        <is>
          <t>없음</t>
        </is>
      </c>
      <c r="J27" s="28" t="inlineStr">
        <is>
          <t>없음</t>
        </is>
      </c>
      <c r="K27" s="31" t="inlineStr">
        <is>
          <t>now를 입력으로 받아 날짜를 바꿔 가며 테스트 가능</t>
        </is>
      </c>
      <c r="L27" s="31" t="inlineStr">
        <is>
          <t>F04</t>
        </is>
      </c>
      <c r="M27" s="31" t="inlineStr">
        <is>
          <t>#8</t>
        </is>
      </c>
    </row>
    <row r="28" ht="29.25" customHeight="1" s="25">
      <c r="A28" s="39" t="inlineStr">
        <is>
          <t>북마크 검색</t>
        </is>
      </c>
      <c r="B28" s="41" t="inlineStr">
        <is>
          <t>팀원 D</t>
        </is>
      </c>
      <c r="C28" s="34" t="inlineStr">
        <is>
          <t>N27</t>
        </is>
      </c>
      <c r="D28" s="31" t="inlineStr">
        <is>
          <t>search.js</t>
        </is>
      </c>
      <c r="E28" s="31" t="inlineStr">
        <is>
          <t>searchBookmarks(query, bookmarks)</t>
        </is>
      </c>
      <c r="F28" s="28" t="inlineStr">
        <is>
          <t>입력 글자, 북마크</t>
        </is>
      </c>
      <c r="G28" s="28" t="inlineStr">
        <is>
          <t>일치하는 북마크 배열</t>
        </is>
      </c>
      <c r="H28" s="28" t="inlineStr">
        <is>
          <t>제목·주소 부분 일치(대소문자 무시)</t>
        </is>
      </c>
      <c r="I28" s="28" t="inlineStr">
        <is>
          <t>없음</t>
        </is>
      </c>
      <c r="J28" s="28" t="inlineStr">
        <is>
          <t>없음</t>
        </is>
      </c>
      <c r="K28" s="28" t="inlineStr">
        <is>
          <t>빈 입력이면 빈 배열</t>
        </is>
      </c>
      <c r="L28" s="31" t="inlineStr">
        <is>
          <t>F14</t>
        </is>
      </c>
      <c r="M28" s="31" t="inlineStr">
        <is>
          <t>#18</t>
        </is>
      </c>
    </row>
    <row r="29" ht="29.25" customHeight="1" s="25">
      <c r="A29" s="39" t="inlineStr">
        <is>
          <t>웹 검색</t>
        </is>
      </c>
      <c r="B29" s="41" t="inlineStr">
        <is>
          <t>팀원 D</t>
        </is>
      </c>
      <c r="C29" s="34" t="inlineStr">
        <is>
          <t>N28</t>
        </is>
      </c>
      <c r="D29" s="31" t="inlineStr">
        <is>
          <t>search.js</t>
        </is>
      </c>
      <c r="E29" s="31" t="inlineStr">
        <is>
          <t>isUrlLike(text)</t>
        </is>
      </c>
      <c r="F29" s="28" t="inlineStr">
        <is>
          <t>입력 글자</t>
        </is>
      </c>
      <c r="G29" s="31" t="inlineStr">
        <is>
          <t>true/false</t>
        </is>
      </c>
      <c r="H29" s="31" t="inlineStr">
        <is>
          <t>http(s)://로 시작하거나 띄어쓰기 없이 점이 있으면 true</t>
        </is>
      </c>
      <c r="I29" s="28" t="inlineStr">
        <is>
          <t>없음</t>
        </is>
      </c>
      <c r="J29" s="28" t="inlineStr">
        <is>
          <t>없음</t>
        </is>
      </c>
      <c r="K29" s="28" t="n"/>
      <c r="L29" s="31" t="inlineStr">
        <is>
          <t>F11</t>
        </is>
      </c>
      <c r="M29" s="31" t="inlineStr">
        <is>
          <t>#18</t>
        </is>
      </c>
    </row>
    <row r="30" ht="15.75" customHeight="1" s="25">
      <c r="A30" s="39" t="inlineStr">
        <is>
          <t>웹 검색</t>
        </is>
      </c>
      <c r="B30" s="41" t="inlineStr">
        <is>
          <t>팀원 D</t>
        </is>
      </c>
      <c r="C30" s="34" t="inlineStr">
        <is>
          <t>N29</t>
        </is>
      </c>
      <c r="D30" s="31" t="inlineStr">
        <is>
          <t>search.js</t>
        </is>
      </c>
      <c r="E30" s="31" t="inlineStr">
        <is>
          <t>runWebSearch(text)</t>
        </is>
      </c>
      <c r="F30" s="28" t="inlineStr">
        <is>
          <t>입력 글자</t>
        </is>
      </c>
      <c r="G30" s="28" t="inlineStr">
        <is>
          <t>없음</t>
        </is>
      </c>
      <c r="H30" s="28" t="inlineStr">
        <is>
          <t>주소면 이동, 아니면 기본 검색엔진으로 검색</t>
        </is>
      </c>
      <c r="I30" s="28" t="inlineStr">
        <is>
          <t>없음</t>
        </is>
      </c>
      <c r="J30" s="28" t="inlineStr">
        <is>
          <t>없음</t>
        </is>
      </c>
      <c r="K30" s="28" t="inlineStr">
        <is>
          <t>빈 입력이면 아무것도 하지 않음</t>
        </is>
      </c>
      <c r="L30" s="31" t="inlineStr">
        <is>
          <t>F11</t>
        </is>
      </c>
      <c r="M30" s="31" t="inlineStr">
        <is>
          <t>#18</t>
        </is>
      </c>
    </row>
    <row r="31" ht="57.75" customHeight="1" s="25">
      <c r="A31" s="39" t="inlineStr">
        <is>
          <t>화면 배치</t>
        </is>
      </c>
      <c r="B31" s="41" t="inlineStr">
        <is>
          <t>팀원 D</t>
        </is>
      </c>
      <c r="C31" s="34" t="inlineStr">
        <is>
          <t>N30</t>
        </is>
      </c>
      <c r="D31" s="31" t="inlineStr">
        <is>
          <t>render.js</t>
        </is>
      </c>
      <c r="E31" s="31" t="inlineStr">
        <is>
          <t>renderAll(tree, stored)</t>
        </is>
      </c>
      <c r="F31" s="28" t="inlineStr">
        <is>
          <t>북마크 목록, 저장 항목</t>
        </is>
      </c>
      <c r="G31" s="28" t="inlineStr">
        <is>
          <t>없음</t>
        </is>
      </c>
      <c r="H31" s="28" t="inlineStr">
        <is>
          <t>화면의 시작점. 헤더·날짜·화면 아래의 고정됨(독)·모든 북마크를 직접 그리고, 각 화면 파일(view/*)의 그리기 함수를 부름. 북마크 알림이나 저장소 변경이 오면 호출. 화면 파일끼리 서로 부르지 않도록, 다른 화면 파일의 동작이 필요한 그리기 함수에는 동작 묶음(actions)을 만들어 넘김(v13)</t>
        </is>
      </c>
      <c r="I31" s="28" t="inlineStr">
        <is>
          <t>없음</t>
        </is>
      </c>
      <c r="J31" s="28" t="inlineStr">
        <is>
          <t>없음</t>
        </is>
      </c>
      <c r="K31" s="28" t="inlineStr">
        <is>
          <t>북마크가 없으면 안내 문구. 크롬 북마크 알림과 저장소 알림은 이 파일만 받음 (v10)
v13: actions = { openFolder(folderId) → openFolderPopup, showResultNotice(entry) → showResultNotice, showContextMenu(bookmark) → showContextMenu }. 각 화면 파일은 자기 칸 안만 그림. 칸 이름은 file-structure.md 12번</t>
        </is>
      </c>
      <c r="L31" s="31" t="inlineStr">
        <is>
          <t>F01 ~ F04, F08, F12</t>
        </is>
      </c>
      <c r="M31" s="31" t="inlineStr">
        <is>
          <t>#15</t>
        </is>
      </c>
    </row>
    <row r="32" ht="72" customHeight="1" s="25">
      <c r="A32" s="39" t="inlineStr">
        <is>
          <t>정리 카드</t>
        </is>
      </c>
      <c r="B32" s="41" t="inlineStr">
        <is>
          <t>팀원 D</t>
        </is>
      </c>
      <c r="C32" s="34" t="inlineStr">
        <is>
          <t>N31</t>
        </is>
      </c>
      <c r="D32" s="31" t="inlineStr">
        <is>
          <t>view/cards.js</t>
        </is>
      </c>
      <c r="E32" s="31" t="inlineStr">
        <is>
          <t>showFirstCard(plan, actions) / showOrganizeDialog(plan, actions) / showPinPicker()</t>
        </is>
      </c>
      <c r="F32" s="28" t="inlineStr">
        <is>
          <t>폴더 계획, 동작 묶음 { showResultNotice } / 폴더 계획, 동작 묶음 / 없음</t>
        </is>
      </c>
      <c r="G32" s="28" t="inlineStr">
        <is>
          <t>없음</t>
        </is>
      </c>
      <c r="H32" s="28" t="inlineStr">
        <is>
          <t>첫 정리 카드(또는 고정 제안 카드), 자세히 보기와 [정리하기] 창, 고정할 북마크 고르기 창 표시. 고정 제안의 [고정하기]에서 권한을 요청하고 자주 방문한 사이트 목록을 받아 plan.js에 넘김</t>
        </is>
      </c>
      <c r="I32" s="28" t="inlineStr">
        <is>
          <t>없음</t>
        </is>
      </c>
      <c r="J32" s="31" t="inlineStr">
        <is>
          <t>state.firstCard</t>
        </is>
      </c>
      <c r="K32" s="31" t="inlineStr">
        <is>
          <t>Esc·바깥 클릭으로 닫힘. 화면 파일끼리는 서로 부르지 않고 render.js가 부름 (v10: render.js에서 분리)
v13: 첫 정리 카드는 #organize-suggestion 칸에 그림. [정리하기]로 applyPlan이 끝나면 actions.showResultNotice(entry)를 부름. showOrganizeDialog가 폴더 계획을 입력으로 받게 함(cards.js는 plan.js를 부르지 않음). 새 북마크 정리(F10)와 고르기 창(F09)에 필요한 입력은 P2를 시작할 때 정함</t>
        </is>
      </c>
      <c r="L32" s="31" t="inlineStr">
        <is>
          <t>F06, F09, F10</t>
        </is>
      </c>
      <c r="M32" s="31" t="inlineStr">
        <is>
          <t>#17</t>
        </is>
      </c>
    </row>
    <row r="33" ht="29.25" customHeight="1" s="25">
      <c r="A33" s="39" t="inlineStr">
        <is>
          <t>새 북마크 정리</t>
        </is>
      </c>
      <c r="B33" s="43" t="inlineStr">
        <is>
          <t>팀원 B</t>
        </is>
      </c>
      <c r="C33" s="34" t="inlineStr">
        <is>
          <t>N32</t>
        </is>
      </c>
      <c r="D33" s="31" t="inlineStr">
        <is>
          <t>background.js</t>
        </is>
      </c>
      <c r="E33" s="31" t="inlineStr">
        <is>
          <t>onCreated 처리</t>
        </is>
      </c>
      <c r="F33" s="31" t="inlineStr">
        <is>
          <t>(id, node)</t>
        </is>
      </c>
      <c r="G33" s="28" t="inlineStr">
        <is>
          <t>없음</t>
        </is>
      </c>
      <c r="H33" s="28" t="inlineStr">
        <is>
          <t>북마크바·기타·모바일 바로 아래에 저장된 새 북마크를 newBookmarks에 추가</t>
        </is>
      </c>
      <c r="I33" s="28" t="inlineStr">
        <is>
          <t>없음</t>
        </is>
      </c>
      <c r="J33" s="31" t="inlineStr">
        <is>
          <t>newBookmarks</t>
        </is>
      </c>
      <c r="K33" s="28" t="inlineStr">
        <is>
          <t>가져오기 중이거나, 폴더이거나, 사용자 폴더 안에 저장된 것이면 추가하지 않음</t>
        </is>
      </c>
      <c r="L33" s="31" t="inlineStr">
        <is>
          <t>F10</t>
        </is>
      </c>
      <c r="M33" s="31" t="inlineStr">
        <is>
          <t>#6</t>
        </is>
      </c>
    </row>
    <row r="34" ht="43.5" customHeight="1" s="25">
      <c r="A34" s="39" t="inlineStr">
        <is>
          <t>직접 옮김 감지</t>
        </is>
      </c>
      <c r="B34" s="43" t="inlineStr">
        <is>
          <t>팀원 B</t>
        </is>
      </c>
      <c r="C34" s="34" t="inlineStr">
        <is>
          <t>N33</t>
        </is>
      </c>
      <c r="D34" s="31" t="inlineStr">
        <is>
          <t>background.js</t>
        </is>
      </c>
      <c r="E34" s="31" t="inlineStr">
        <is>
          <t>onMoved 처리</t>
        </is>
      </c>
      <c r="F34" s="31" t="inlineStr">
        <is>
          <t>(id, moveInfo)</t>
        </is>
      </c>
      <c r="G34" s="28" t="inlineStr">
        <is>
          <t>없음</t>
        </is>
      </c>
      <c r="H34" s="28" t="inlineStr">
        <is>
          <t>폴더가 바뀐 이동이면 newBookmarks에서 지우고, 우리 정리의 이동(isPending)이 아니면 직접 옮김으로 기록</t>
        </is>
      </c>
      <c r="I34" s="28" t="inlineStr">
        <is>
          <t>없음</t>
        </is>
      </c>
      <c r="J34" s="31" t="inlineStr">
        <is>
          <t>manualMoves, newBookmarks</t>
        </is>
      </c>
      <c r="K34" s="28" t="inlineStr">
        <is>
          <t>순서만 바뀐 이동은 기록하지 않음. 알림이 동시에 여러 개 와도 순서대로 처리(update 사용)</t>
        </is>
      </c>
      <c r="L34" s="31" t="inlineStr">
        <is>
          <t>F07</t>
        </is>
      </c>
      <c r="M34" s="31" t="inlineStr">
        <is>
          <t>#6</t>
        </is>
      </c>
    </row>
    <row r="35" ht="29.25" customHeight="1" s="25">
      <c r="A35" s="39" t="inlineStr">
        <is>
          <t>저장 항목</t>
        </is>
      </c>
      <c r="B35" s="43" t="inlineStr">
        <is>
          <t>팀원 B</t>
        </is>
      </c>
      <c r="C35" s="34" t="inlineStr">
        <is>
          <t>N34</t>
        </is>
      </c>
      <c r="D35" s="31" t="inlineStr">
        <is>
          <t>background.js</t>
        </is>
      </c>
      <c r="E35" s="31" t="inlineStr">
        <is>
          <t>onRemoved 처리</t>
        </is>
      </c>
      <c r="F35" s="31" t="inlineStr">
        <is>
          <t>(id, removeInfo)</t>
        </is>
      </c>
      <c r="G35" s="28" t="inlineStr">
        <is>
          <t>없음</t>
        </is>
      </c>
      <c r="H35" s="28" t="inlineStr">
        <is>
          <t>삭제된 북마크(폴더면 안의 북마크까지) ID를 서비스 워커가 쓰는 항목에서 정리</t>
        </is>
      </c>
      <c r="I35" s="28" t="inlineStr">
        <is>
          <t>없음</t>
        </is>
      </c>
      <c r="J35" s="31" t="inlineStr">
        <is>
          <t>manualMoves, newBookmarks</t>
        </is>
      </c>
      <c r="K35" s="28" t="inlineStr">
        <is>
          <t>새 탭이 쓰는 항목은 cleanupMissing이 정리</t>
        </is>
      </c>
      <c r="L35" s="31" t="inlineStr">
        <is>
          <t>F01</t>
        </is>
      </c>
      <c r="M35" s="31" t="inlineStr">
        <is>
          <t>#6</t>
        </is>
      </c>
    </row>
    <row r="36" ht="29.25" customHeight="1" s="25">
      <c r="A36" s="39" t="inlineStr">
        <is>
          <t>세부 폴더</t>
        </is>
      </c>
      <c r="B36" s="42" t="inlineStr">
        <is>
          <t>팀원 C</t>
        </is>
      </c>
      <c r="C36" s="34" t="inlineStr">
        <is>
          <t>N35</t>
        </is>
      </c>
      <c r="D36" s="31" t="inlineStr">
        <is>
          <t>topic.js</t>
        </is>
      </c>
      <c r="E36" s="31" t="inlineStr">
        <is>
          <t>suggestSubfolders(folderItems)</t>
        </is>
      </c>
      <c r="F36" s="28" t="inlineStr">
        <is>
          <t>폴더 안 북마크</t>
        </is>
      </c>
      <c r="G36" s="31" t="inlineStr">
        <is>
          <t>[{ word, items }]</t>
        </is>
      </c>
      <c r="H36" s="28" t="inlineStr">
        <is>
          <t>제목에 반복되는 주제 단어(북마크 3개 이상, 사이트 2곳 이상)로 세부 폴더 제안</t>
        </is>
      </c>
      <c r="I36" s="28" t="inlineStr">
        <is>
          <t>없음</t>
        </is>
      </c>
      <c r="J36" s="28" t="inlineStr">
        <is>
          <t>없음</t>
        </is>
      </c>
      <c r="K36" s="28" t="inlineStr">
        <is>
          <t>조건에 맞는 단어가 없으면 빈 배열</t>
        </is>
      </c>
      <c r="L36" s="31" t="inlineStr">
        <is>
          <t>F16</t>
        </is>
      </c>
      <c r="M36" s="31" t="inlineStr">
        <is>
          <t>#12</t>
        </is>
      </c>
    </row>
    <row r="37" ht="43.5" customHeight="1" s="25">
      <c r="A37" s="39" t="inlineStr">
        <is>
          <t>드래그 이동</t>
        </is>
      </c>
      <c r="B37" s="41" t="inlineStr">
        <is>
          <t>팀원 D</t>
        </is>
      </c>
      <c r="C37" s="34" t="inlineStr">
        <is>
          <t>N36</t>
        </is>
      </c>
      <c r="D37" s="31" t="inlineStr">
        <is>
          <t>dnd.js</t>
        </is>
      </c>
      <c r="E37" s="31" t="inlineStr">
        <is>
          <t>initDnd(container)</t>
        </is>
      </c>
      <c r="F37" s="28" t="inlineStr">
        <is>
          <t>화면 영역</t>
        </is>
      </c>
      <c r="G37" s="28" t="inlineStr">
        <is>
          <t>없음</t>
        </is>
      </c>
      <c r="H37" s="31" t="inlineStr">
        <is>
          <t>SortableJS로 순서 바꾸기, 폴더 위에 놓기는 직접 구현</t>
        </is>
      </c>
      <c r="I37" s="28" t="inlineStr">
        <is>
          <t>이동</t>
        </is>
      </c>
      <c r="J37" s="28" t="inlineStr">
        <is>
          <t>없음 (직접 옮김은 서비스 워커가 기록)</t>
        </is>
      </c>
      <c r="K37" s="28" t="inlineStr">
        <is>
          <t>놓을 수 없는 곳이면 원래 자리로. 같은 폴더 안에서 뒤쪽으로 옮길 때는 순서 번호에 1을 더함</t>
        </is>
      </c>
      <c r="L37" s="31" t="inlineStr">
        <is>
          <t>F17</t>
        </is>
      </c>
      <c r="M37" s="31" t="inlineStr">
        <is>
          <t>#19</t>
        </is>
      </c>
    </row>
    <row r="38" ht="43.5" customHeight="1" s="25">
      <c r="A38" s="39" t="inlineStr">
        <is>
          <t>새 북마크 정리</t>
        </is>
      </c>
      <c r="B38" s="42" t="inlineStr">
        <is>
          <t>팀원 C</t>
        </is>
      </c>
      <c r="C38" s="34" t="inlineStr">
        <is>
          <t>N37</t>
        </is>
      </c>
      <c r="D38" s="31" t="inlineStr">
        <is>
          <t>plan.js</t>
        </is>
      </c>
      <c r="E38" s="31" t="inlineStr">
        <is>
          <t>suggestNewFolders(tree, stored, categories)</t>
        </is>
      </c>
      <c r="F38" s="28" t="inlineStr">
        <is>
          <t>북마크 목록, 저장 항목, 분류표</t>
        </is>
      </c>
      <c r="G38" s="31" t="inlineStr">
        <is>
          <t>[{ name, items }]</t>
        </is>
      </c>
      <c r="H38" s="28" t="inlineStr">
        <is>
          <t>폴더 밖에 같은 카테고리가 3개 이상 모였고 우리가 만든 폴더 수가 상한 미만이면 새 폴더를 제안</t>
        </is>
      </c>
      <c r="I38" s="28" t="inlineStr">
        <is>
          <t>없음</t>
        </is>
      </c>
      <c r="J38" s="28" t="inlineStr">
        <is>
          <t>없음</t>
        </is>
      </c>
      <c r="K38" s="28" t="inlineStr">
        <is>
          <t>같은 이름의 폴더가 이미 있으면 제안하지 않음. 상한에 찼으면 빈 배열</t>
        </is>
      </c>
      <c r="L38" s="31" t="inlineStr">
        <is>
          <t>F10</t>
        </is>
      </c>
      <c r="M38" s="31" t="inlineStr">
        <is>
          <t>#11</t>
        </is>
      </c>
    </row>
    <row r="39" ht="29.25" customHeight="1" s="25">
      <c r="A39" s="39" t="inlineStr">
        <is>
          <t>정리 카드</t>
        </is>
      </c>
      <c r="B39" s="40" t="inlineStr">
        <is>
          <t>팀원 A</t>
        </is>
      </c>
      <c r="C39" s="34" t="inlineStr">
        <is>
          <t>N38</t>
        </is>
      </c>
      <c r="D39" s="31" t="inlineStr">
        <is>
          <t>store.js</t>
        </is>
      </c>
      <c r="E39" s="31" t="inlineStr">
        <is>
          <t>setFirstCard(value)</t>
        </is>
      </c>
      <c r="F39" s="31" t="inlineStr">
        <is>
          <t>"pending" | "done" | "later"</t>
        </is>
      </c>
      <c r="G39" s="28" t="inlineStr">
        <is>
          <t>없음</t>
        </is>
      </c>
      <c r="H39" s="28" t="inlineStr">
        <is>
          <t>첫 정리 카드 상태를 바꿈</t>
        </is>
      </c>
      <c r="I39" s="28" t="inlineStr">
        <is>
          <t>없음</t>
        </is>
      </c>
      <c r="J39" s="31" t="inlineStr">
        <is>
          <t>state</t>
        </is>
      </c>
      <c r="K39" s="28" t="inlineStr">
        <is>
          <t>새 탭만 호출</t>
        </is>
      </c>
      <c r="L39" s="31" t="inlineStr">
        <is>
          <t>F06</t>
        </is>
      </c>
      <c r="M39" s="31" t="inlineStr">
        <is>
          <t>#3</t>
        </is>
      </c>
    </row>
    <row r="40" ht="15.75" customHeight="1" s="25">
      <c r="A40" s="39" t="inlineStr">
        <is>
          <t>새 북마크 정리</t>
        </is>
      </c>
      <c r="B40" s="40" t="inlineStr">
        <is>
          <t>팀원 A</t>
        </is>
      </c>
      <c r="C40" s="34" t="inlineStr">
        <is>
          <t>N39</t>
        </is>
      </c>
      <c r="D40" s="31" t="inlineStr">
        <is>
          <t>store.js</t>
        </is>
      </c>
      <c r="E40" s="31" t="inlineStr">
        <is>
          <t>markHandledNew(ids)</t>
        </is>
      </c>
      <c r="F40" s="28" t="inlineStr">
        <is>
          <t>북마크 ID 배열</t>
        </is>
      </c>
      <c r="G40" s="28" t="inlineStr">
        <is>
          <t>없음</t>
        </is>
      </c>
      <c r="H40" s="31" t="inlineStr">
        <is>
          <t>'그대로 두기'로 둔 새 북마크를 기록</t>
        </is>
      </c>
      <c r="I40" s="28" t="inlineStr">
        <is>
          <t>없음</t>
        </is>
      </c>
      <c r="J40" s="31" t="inlineStr">
        <is>
          <t>handledNew</t>
        </is>
      </c>
      <c r="K40" s="28" t="inlineStr">
        <is>
          <t>새 탭만 호출 (applyPlan이 부름)</t>
        </is>
      </c>
      <c r="L40" s="31" t="inlineStr">
        <is>
          <t>F10</t>
        </is>
      </c>
      <c r="M40" s="31" t="inlineStr">
        <is>
          <t>#3</t>
        </is>
      </c>
    </row>
    <row r="41" ht="29.25" customHeight="1" s="25">
      <c r="A41" s="39" t="inlineStr">
        <is>
          <t>새 북마크 정리</t>
        </is>
      </c>
      <c r="B41" s="40" t="inlineStr">
        <is>
          <t>팀원 A</t>
        </is>
      </c>
      <c r="C41" s="34" t="inlineStr">
        <is>
          <t>N40</t>
        </is>
      </c>
      <c r="D41" s="31" t="inlineStr">
        <is>
          <t>store.js</t>
        </is>
      </c>
      <c r="E41" s="31" t="inlineStr">
        <is>
          <t>addNew(id) / removeNew(id) / purgeWorkerKeys(ids)</t>
        </is>
      </c>
      <c r="F41" s="28" t="inlineStr">
        <is>
          <t>북마크 ID / ID 배열</t>
        </is>
      </c>
      <c r="G41" s="28" t="inlineStr">
        <is>
          <t>없음</t>
        </is>
      </c>
      <c r="H41" s="28" t="inlineStr">
        <is>
          <t>새 북마크 목록에 추가·제거. 삭제된 북마크 ID를 서비스 워커가 쓰는 항목에서 지움</t>
        </is>
      </c>
      <c r="I41" s="28" t="inlineStr">
        <is>
          <t>없음</t>
        </is>
      </c>
      <c r="J41" s="31" t="inlineStr">
        <is>
          <t>newBookmarks, manualMoves</t>
        </is>
      </c>
      <c r="K41" s="28" t="inlineStr">
        <is>
          <t>서비스 워커만 호출</t>
        </is>
      </c>
      <c r="L41" s="31" t="inlineStr">
        <is>
          <t>F01, F10</t>
        </is>
      </c>
      <c r="M41" s="31" t="inlineStr">
        <is>
          <t>#3</t>
        </is>
      </c>
    </row>
    <row r="42" ht="43.5" customHeight="1" s="25">
      <c r="A42" s="39" t="inlineStr">
        <is>
          <t>앱 폴더</t>
        </is>
      </c>
      <c r="B42" s="40" t="inlineStr">
        <is>
          <t>팀원 C</t>
        </is>
      </c>
      <c r="C42" s="34" t="inlineStr">
        <is>
          <t>N41</t>
        </is>
      </c>
      <c r="D42" s="31" t="inlineStr">
        <is>
          <t>view/folders.js</t>
        </is>
      </c>
      <c r="E42" s="31" t="inlineStr">
        <is>
          <t>showFolders(tree) / openFolderPopup(folderId) / showContextMenu(bookmark)</t>
        </is>
      </c>
      <c r="F42" s="28" t="inlineStr">
        <is>
          <t>북마크 목록 / 폴더 ID / 북마크</t>
        </is>
      </c>
      <c r="G42" s="28" t="inlineStr">
        <is>
          <t>없음</t>
        </is>
      </c>
      <c r="H42" s="28" t="inlineStr">
        <is>
          <t>내 폴더 줄과 폴더 팝업(폴더 안의 폴더 포함) 표시, 폴더 만들기·이름 바꾸기·삭제, 우클릭 메뉴</t>
        </is>
      </c>
      <c r="I42" s="28" t="inlineStr">
        <is>
          <t>없음 (bookmarks.js를 거쳐 바꿈)</t>
        </is>
      </c>
      <c r="J42" s="28" t="inlineStr">
        <is>
          <t>없음</t>
        </is>
      </c>
      <c r="K42" s="28" t="inlineStr">
        <is>
          <t>Esc·바깥 클릭으로 닫힘. 팝업은 한 줄 4개, 넘치면 팝업 안에서 스크롤 (v10: render.js에서 분리)
v13: showFolders가 내 폴더 줄을 #folder-list 칸에 그림(render.js가 부름). 그릴 때마다 칸을 비우고 다시 그리며, 열려 있는 팝업은 닫지 않음</t>
        </is>
      </c>
      <c r="L42" s="31" t="inlineStr">
        <is>
          <t>F03, F15</t>
        </is>
      </c>
      <c r="M42" s="31" t="inlineStr">
        <is>
          <t>#13</t>
        </is>
      </c>
    </row>
    <row r="43" ht="43.5" customHeight="1" s="25">
      <c r="A43" s="39" t="inlineStr">
        <is>
          <t>재발견</t>
        </is>
      </c>
      <c r="B43" s="40" t="inlineStr">
        <is>
          <t>팀원 B</t>
        </is>
      </c>
      <c r="C43" s="34" t="inlineStr">
        <is>
          <t>N42</t>
        </is>
      </c>
      <c r="D43" s="31" t="inlineStr">
        <is>
          <t>view/forgottenFolder.js</t>
        </is>
      </c>
      <c r="E43" s="31" t="inlineStr">
        <is>
          <t>showForgotten(items, actions)</t>
        </is>
      </c>
      <c r="F43" s="28" t="inlineStr">
        <is>
          <t>pickForgotten의 결과, 동작 묶음 { openFolder, showContextMenu }</t>
        </is>
      </c>
      <c r="G43" s="28" t="inlineStr">
        <is>
          <t>없음</t>
        </is>
      </c>
      <c r="H43" s="28" t="inlineStr">
        <is>
          <t>잊고 있던 북마크 폴더(개수 배지)와 팝업 표시. 앞의 8개만 보여 주고, 열기·고정하기·이제 안 봐도 됨·어디 있는지 보기를 처리</t>
        </is>
      </c>
      <c r="I43" s="28" t="inlineStr">
        <is>
          <t>없음</t>
        </is>
      </c>
      <c r="J43" s="28" t="inlineStr">
        <is>
          <t>없음 (store.js를 거쳐 기록)</t>
        </is>
      </c>
      <c r="K43" s="28" t="inlineStr">
        <is>
          <t>후보가 0개면 폴더를 숨김. [이제 안 봐도 됨]의 되돌리기 안내는 6초 (v10: render.js에서 분리)
v13: #forgotten-slot 칸에 그림. [어디 있는지 보기]는 actions.openFolder(folderId)를 부름(다른 화면 파일을 직접 부르지 않음)</t>
        </is>
      </c>
      <c r="L43" s="31" t="inlineStr">
        <is>
          <t>F04</t>
        </is>
      </c>
      <c r="M43" s="31" t="inlineStr">
        <is>
          <t>#9</t>
        </is>
      </c>
    </row>
    <row r="44" ht="43.5" customHeight="1" s="25">
      <c r="A44" s="39" t="inlineStr">
        <is>
          <t>되돌리기·정리 기록</t>
        </is>
      </c>
      <c r="B44" s="40" t="inlineStr">
        <is>
          <t>팀원 A</t>
        </is>
      </c>
      <c r="C44" s="34" t="inlineStr">
        <is>
          <t>N43</t>
        </is>
      </c>
      <c r="D44" s="31" t="inlineStr">
        <is>
          <t>view/history.js</t>
        </is>
      </c>
      <c r="E44" s="31" t="inlineStr">
        <is>
          <t>showResultNotice(entry) / showHistory()</t>
        </is>
      </c>
      <c r="F44" s="28" t="inlineStr">
        <is>
          <t>정리 기록 한 건 / 없음</t>
        </is>
      </c>
      <c r="G44" s="28" t="inlineStr">
        <is>
          <t>없음</t>
        </is>
      </c>
      <c r="H44" s="28" t="inlineStr">
        <is>
          <t>정리 결과 안내([되돌리기], 12초)와 정리 기록 화면 표시. [되돌리기]는 organize.js의 undo를 부름</t>
        </is>
      </c>
      <c r="I44" s="28" t="inlineStr">
        <is>
          <t>없음 (organize.js를 거쳐 바꿈)</t>
        </is>
      </c>
      <c r="J44" s="28" t="inlineStr">
        <is>
          <t>없음</t>
        </is>
      </c>
      <c r="K44" s="28" t="inlineStr">
        <is>
          <t>이미 되돌린 내역은 "되돌림" 표시. 내역이 없으면 안내 문구 (v10: render.js에서 분리)
v13: 정리 결과 안내는 #notice 칸에 그림. cards.js가 actions.showResultNotice로 부름</t>
        </is>
      </c>
      <c r="L44" s="31" t="inlineStr">
        <is>
          <t>F07, F13</t>
        </is>
      </c>
      <c r="M44" s="31" t="inlineStr">
        <is>
          <t>#5</t>
        </is>
      </c>
    </row>
    <row r="45" ht="43.5" customHeight="1" s="25">
      <c r="A45" s="39" t="inlineStr">
        <is>
          <t>앱 표시·열기</t>
        </is>
      </c>
      <c r="B45" s="40" t="inlineStr">
        <is>
          <t>팀원 D</t>
        </is>
      </c>
      <c r="C45" s="34" t="inlineStr">
        <is>
          <t>N44</t>
        </is>
      </c>
      <c r="D45" s="31" t="inlineStr">
        <is>
          <t>ui.js</t>
        </is>
      </c>
      <c r="E45" s="31" t="inlineStr">
        <is>
          <t>appIcon(bookmark, size)</t>
        </is>
      </c>
      <c r="F45" s="28" t="inlineStr">
        <is>
          <t>북마크 {title, url}, 크기(px, 기본 56)</t>
        </is>
      </c>
      <c r="G45" s="28" t="inlineStr">
        <is>
          <t>아이콘 요소 (HTMLElement)</t>
        </is>
      </c>
      <c r="H45" s="28" t="inlineStr">
        <is>
          <t>색 타일 위에 파비콘을 올린 앱 아이콘을 만든다. 파비콘이 없으면 제목의 첫 글자를 넣는다. 모든 화면 파일이 이 함수로 아이콘을 그린다</t>
        </is>
      </c>
      <c r="I45" s="28" t="inlineStr">
        <is>
          <t>없음</t>
        </is>
      </c>
      <c r="J45" s="28" t="inlineStr">
        <is>
          <t>없음</t>
        </is>
      </c>
      <c r="K45" s="28" t="inlineStr">
        <is>
          <t>파비콘 주소와 유무는 bookmarks.js의 faviconUrl·hasFavicon을 거침. 타일 색을 정하는 규칙은 담당이 정함 (v11 추가: 화면 파일마다 아이콘을 따로 그리지 않게 함)</t>
        </is>
      </c>
      <c r="L45" s="31" t="inlineStr">
        <is>
          <t>F02</t>
        </is>
      </c>
      <c r="M45" s="31" t="inlineStr">
        <is>
          <t>#16</t>
        </is>
      </c>
    </row>
    <row r="46" ht="43.5" customHeight="1" s="25">
      <c r="A46" s="39" t="inlineStr">
        <is>
          <t>화면 배치</t>
        </is>
      </c>
      <c r="B46" s="40" t="inlineStr">
        <is>
          <t>팀원 D</t>
        </is>
      </c>
      <c r="C46" s="34" t="inlineStr">
        <is>
          <t>N45</t>
        </is>
      </c>
      <c r="D46" s="31" t="inlineStr">
        <is>
          <t>ui.js</t>
        </is>
      </c>
      <c r="E46" s="31" t="inlineStr">
        <is>
          <t>showToast(message, options)</t>
        </is>
      </c>
      <c r="F46" s="28" t="inlineStr">
        <is>
          <t>안내 문구, { actionLabel, onAction, duration } (duration 기본 2.2초)</t>
        </is>
      </c>
      <c r="G46" s="28" t="inlineStr">
        <is>
          <t>없음</t>
        </is>
      </c>
      <c r="H46" s="28" t="inlineStr">
        <is>
          <t>짧은 안내 문구를 띄우고 시간이 지나면 지운다. actionLabel이 있으면 버튼([되돌리기] 등)을 함께 보여 주고, 누르면 onAction을 부른다</t>
        </is>
      </c>
      <c r="I46" s="28" t="inlineStr">
        <is>
          <t>없음</t>
        </is>
      </c>
      <c r="J46" s="28" t="inlineStr">
        <is>
          <t>없음</t>
        </is>
      </c>
      <c r="K46" s="28" t="inlineStr">
        <is>
          <t>한 번에 하나만 표시(새 문구가 이전 것을 바꿈). 정리 결과 안내(12초)는 view/history.js의 showResultNotice가 따로 그림 (v11 추가)
v13: #toast 칸에 그림</t>
        </is>
      </c>
      <c r="L46" s="31" t="inlineStr">
        <is>
          <t>F02, F04, F08</t>
        </is>
      </c>
      <c r="M46" s="31" t="inlineStr">
        <is>
          <t>#16</t>
        </is>
      </c>
    </row>
    <row r="47" ht="43.5" customHeight="1" s="25">
      <c r="A47" s="39" t="inlineStr">
        <is>
          <t>화면 배치</t>
        </is>
      </c>
      <c r="B47" s="40" t="inlineStr">
        <is>
          <t>팀원 D</t>
        </is>
      </c>
      <c r="C47" s="34" t="inlineStr">
        <is>
          <t>N46</t>
        </is>
      </c>
      <c r="D47" s="31" t="inlineStr">
        <is>
          <t>ui.js</t>
        </is>
      </c>
      <c r="E47" s="31" t="inlineStr">
        <is>
          <t>icon(name, size)</t>
        </is>
      </c>
      <c r="F47" s="28" t="inlineStr">
        <is>
          <t>아이콘 이름, 크기(px, 기본 20)</t>
        </is>
      </c>
      <c r="G47" s="28" t="inlineStr">
        <is>
          <t>아이콘 요소 (SVGElement)</t>
        </is>
      </c>
      <c r="H47" s="28" t="inlineStr">
        <is>
          <t>선으로 그린 공통 아이콘을 만든다: bookmark, check, chevron, clock, close, folder, grid, history, lock, plus, search, sparkles</t>
        </is>
      </c>
      <c r="I47" s="28" t="inlineStr">
        <is>
          <t>없음</t>
        </is>
      </c>
      <c r="J47" s="28" t="inlineStr">
        <is>
          <t>없음</t>
        </is>
      </c>
      <c r="K47" s="28" t="inlineStr">
        <is>
          <t>없는 이름이면 빈 요소. 그림 파일이나 외부 아이콘 글꼴을 쓰지 않음 (v11 추가)</t>
        </is>
      </c>
      <c r="L47" s="31" t="inlineStr">
        <is>
          <t>F12</t>
        </is>
      </c>
      <c r="M47" s="31" t="inlineStr">
        <is>
          <t>#16</t>
        </is>
      </c>
    </row>
  </sheetData>
  <autoFilter ref="A1:M4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4" min="1" max="1"/>
    <col width="9" customWidth="1" style="24" min="2" max="2"/>
    <col width="18" customWidth="1" style="24" min="3" max="3"/>
    <col width="58" customWidth="1" style="24" min="4" max="4"/>
    <col width="44" customWidth="1" style="24" min="5" max="5"/>
    <col width="26" customWidth="1" style="24" min="6" max="6"/>
    <col width="14" customWidth="1" style="24" min="7" max="7"/>
    <col width="18" customWidth="1" style="24" min="8" max="8"/>
  </cols>
  <sheetData>
    <row r="1" ht="26.25" customHeight="1" s="25">
      <c r="A1" s="33" t="inlineStr">
        <is>
          <t>도메인</t>
        </is>
      </c>
      <c r="B1" s="33" t="inlineStr">
        <is>
          <t>담당(안)</t>
        </is>
      </c>
      <c r="C1" s="33" t="inlineStr">
        <is>
          <t>키</t>
        </is>
      </c>
      <c r="D1" s="33" t="inlineStr">
        <is>
          <t>형태</t>
        </is>
      </c>
      <c r="E1" s="33" t="inlineStr">
        <is>
          <t>뜻</t>
        </is>
      </c>
      <c r="F1" s="33" t="inlineStr">
        <is>
          <t>쓰는 쪽</t>
        </is>
      </c>
      <c r="G1" s="33" t="inlineStr">
        <is>
          <t>읽는 쪽</t>
        </is>
      </c>
      <c r="H1" s="33" t="inlineStr">
        <is>
          <t>관련 기능</t>
        </is>
      </c>
    </row>
    <row r="2" ht="15" customHeight="1" s="25">
      <c r="A2" s="39" t="inlineStr">
        <is>
          <t>고정(독)</t>
        </is>
      </c>
      <c r="B2" s="40" t="inlineStr">
        <is>
          <t>팀원 A</t>
        </is>
      </c>
      <c r="C2" s="31" t="inlineStr">
        <is>
          <t>pinned</t>
        </is>
      </c>
      <c r="D2" s="31" t="inlineStr">
        <is>
          <t>[북마크ID, …]</t>
        </is>
      </c>
      <c r="E2" s="28" t="inlineStr">
        <is>
          <t>화면 아래의 고정됨(독)에 고정한 북마크 (표시 순서대로, 최대 8개)</t>
        </is>
      </c>
      <c r="F2" s="28" t="inlineStr">
        <is>
          <t>새 탭</t>
        </is>
      </c>
      <c r="G2" s="28" t="inlineStr">
        <is>
          <t>새 탭</t>
        </is>
      </c>
      <c r="H2" s="31" t="inlineStr">
        <is>
          <t>F08, F09</t>
        </is>
      </c>
    </row>
    <row r="3" ht="15" customHeight="1" s="25">
      <c r="A3" s="39" t="inlineStr">
        <is>
          <t>재발견</t>
        </is>
      </c>
      <c r="B3" s="40" t="inlineStr">
        <is>
          <t>팀원 A</t>
        </is>
      </c>
      <c r="C3" s="31" t="inlineStr">
        <is>
          <t>lastOpenedByUs</t>
        </is>
      </c>
      <c r="D3" s="31" t="inlineStr">
        <is>
          <t>{ 북마크ID: 시각(ms) }</t>
        </is>
      </c>
      <c r="E3" s="28" t="inlineStr">
        <is>
          <t>우리 새 탭에서 연 시각</t>
        </is>
      </c>
      <c r="F3" s="28" t="inlineStr">
        <is>
          <t>새 탭</t>
        </is>
      </c>
      <c r="G3" s="28" t="inlineStr">
        <is>
          <t>새 탭</t>
        </is>
      </c>
      <c r="H3" s="31" t="inlineStr">
        <is>
          <t>F02, F04, F09</t>
        </is>
      </c>
    </row>
    <row r="4" ht="15" customHeight="1" s="25">
      <c r="A4" s="39" t="inlineStr">
        <is>
          <t>재발견</t>
        </is>
      </c>
      <c r="B4" s="40" t="inlineStr">
        <is>
          <t>팀원 A</t>
        </is>
      </c>
      <c r="C4" s="31" t="inlineStr">
        <is>
          <t>dismissed</t>
        </is>
      </c>
      <c r="D4" s="31" t="inlineStr">
        <is>
          <t>{ 북마크ID: 시각(ms) }</t>
        </is>
      </c>
      <c r="E4" s="31" t="inlineStr">
        <is>
          <t>"이제 안 봐도 됨"을 누른 북마크</t>
        </is>
      </c>
      <c r="F4" s="28" t="inlineStr">
        <is>
          <t>새 탭</t>
        </is>
      </c>
      <c r="G4" s="28" t="inlineStr">
        <is>
          <t>새 탭</t>
        </is>
      </c>
      <c r="H4" s="31" t="inlineStr">
        <is>
          <t>F04</t>
        </is>
      </c>
    </row>
    <row r="5" ht="15" customHeight="1" s="25">
      <c r="A5" s="39" t="inlineStr">
        <is>
          <t>직접 옮김 감지</t>
        </is>
      </c>
      <c r="B5" s="43" t="inlineStr">
        <is>
          <t>팀원 B</t>
        </is>
      </c>
      <c r="C5" s="31" t="inlineStr">
        <is>
          <t>manualMoves</t>
        </is>
      </c>
      <c r="D5" s="31" t="inlineStr">
        <is>
          <t>{ 북마크ID: 시각(ms) }</t>
        </is>
      </c>
      <c r="E5" s="28" t="inlineStr">
        <is>
          <t>사용자가 직접 옮긴 북마크 (다음 정리에서 제외)</t>
        </is>
      </c>
      <c r="F5" s="28" t="inlineStr">
        <is>
          <t>서비스 워커</t>
        </is>
      </c>
      <c r="G5" s="28" t="inlineStr">
        <is>
          <t>새 탭</t>
        </is>
      </c>
      <c r="H5" s="31" t="inlineStr">
        <is>
          <t>F05, F07, F15, F17</t>
        </is>
      </c>
    </row>
    <row r="6" ht="15" customHeight="1" s="25">
      <c r="A6" s="39" t="inlineStr">
        <is>
          <t>새 북마크 정리</t>
        </is>
      </c>
      <c r="B6" s="43" t="inlineStr">
        <is>
          <t>팀원 B</t>
        </is>
      </c>
      <c r="C6" s="31" t="inlineStr">
        <is>
          <t>newBookmarks</t>
        </is>
      </c>
      <c r="D6" s="31" t="inlineStr">
        <is>
          <t>[북마크ID, …]</t>
        </is>
      </c>
      <c r="E6" s="28" t="inlineStr">
        <is>
          <t>폴더 밖에 새로 저장되고 아직 옮기지 않은 북마크</t>
        </is>
      </c>
      <c r="F6" s="28" t="inlineStr">
        <is>
          <t>서비스 워커</t>
        </is>
      </c>
      <c r="G6" s="28" t="inlineStr">
        <is>
          <t>새 탭</t>
        </is>
      </c>
      <c r="H6" s="31" t="inlineStr">
        <is>
          <t>F10</t>
        </is>
      </c>
    </row>
    <row r="7" ht="43.5" customHeight="1" s="25">
      <c r="A7" s="39" t="inlineStr">
        <is>
          <t>새 북마크 정리</t>
        </is>
      </c>
      <c r="B7" s="40" t="inlineStr">
        <is>
          <t>팀원 A</t>
        </is>
      </c>
      <c r="C7" s="31" t="inlineStr">
        <is>
          <t>handledNew</t>
        </is>
      </c>
      <c r="D7" s="31" t="inlineStr">
        <is>
          <t>[북마크ID, …]</t>
        </is>
      </c>
      <c r="E7" s="28" t="inlineStr">
        <is>
          <t>새 북마크 중 [정리하기]에서 '그대로 두기'로 둔 것. "새로" 표시와 버튼 개수 = newBookmarks에서 handledNew를 뺀 것</t>
        </is>
      </c>
      <c r="F7" s="28" t="inlineStr">
        <is>
          <t>새 탭</t>
        </is>
      </c>
      <c r="G7" s="28" t="inlineStr">
        <is>
          <t>새 탭</t>
        </is>
      </c>
      <c r="H7" s="31" t="inlineStr">
        <is>
          <t>F10</t>
        </is>
      </c>
    </row>
    <row r="8" ht="15" customHeight="1" s="25">
      <c r="A8" s="39" t="inlineStr">
        <is>
          <t>직접 옮김 감지</t>
        </is>
      </c>
      <c r="B8" s="40" t="inlineStr">
        <is>
          <t>팀원 A</t>
        </is>
      </c>
      <c r="C8" s="31" t="inlineStr">
        <is>
          <t>pendingMoves</t>
        </is>
      </c>
      <c r="D8" s="31" t="inlineStr">
        <is>
          <t>{ 북마크ID: { toParentId, at } }</t>
        </is>
      </c>
      <c r="E8" s="28" t="inlineStr">
        <is>
          <t>우리 정리가 옮기는 북마크의 목적지와 시각 (1분 뒤 만료)</t>
        </is>
      </c>
      <c r="F8" s="28" t="inlineStr">
        <is>
          <t>새 탭</t>
        </is>
      </c>
      <c r="G8" s="28" t="inlineStr">
        <is>
          <t>서비스 워커</t>
        </is>
      </c>
      <c r="H8" s="31" t="inlineStr">
        <is>
          <t>F07, F13</t>
        </is>
      </c>
    </row>
    <row r="9" ht="43.5" customHeight="1" s="25">
      <c r="A9" s="39" t="inlineStr">
        <is>
          <t>되돌리기·정리 기록</t>
        </is>
      </c>
      <c r="B9" s="40" t="inlineStr">
        <is>
          <t>팀원 A</t>
        </is>
      </c>
      <c r="C9" s="31" t="inlineStr">
        <is>
          <t>history</t>
        </is>
      </c>
      <c r="D9" s="31" t="inlineStr">
        <is>
          <t>[{ id, at, type, createdFolderIds, moves: [{bookmarkId, title, fromParentId, fromIndex, toParentId}], fromOrder: { 원래 폴더ID: [북마크ID, …] }, skipped, undoneAt }]</t>
        </is>
      </c>
      <c r="E9" s="28" t="inlineStr">
        <is>
          <t>정리 기록. type은 "first"(첫 정리) 또는 "new"(새 북마크 정리). fromOrder는 정리 직전 원래 폴더의 전체 순서(되돌릴 때 사용)</t>
        </is>
      </c>
      <c r="F9" s="28" t="inlineStr">
        <is>
          <t>새 탭</t>
        </is>
      </c>
      <c r="G9" s="28" t="inlineStr">
        <is>
          <t>새 탭</t>
        </is>
      </c>
      <c r="H9" s="31" t="inlineStr">
        <is>
          <t>F07, F10, F13</t>
        </is>
      </c>
    </row>
    <row r="10" ht="15" customHeight="1" s="25">
      <c r="A10" s="39" t="inlineStr">
        <is>
          <t>정리 카드</t>
        </is>
      </c>
      <c r="B10" s="40" t="inlineStr">
        <is>
          <t>팀원 A</t>
        </is>
      </c>
      <c r="C10" s="31" t="inlineStr">
        <is>
          <t>state</t>
        </is>
      </c>
      <c r="D10" s="31" t="inlineStr">
        <is>
          <t>{ firstCard: "pending" | "done" | "later" }</t>
        </is>
      </c>
      <c r="E10" s="28" t="inlineStr">
        <is>
          <t>첫 정리 카드 상태 (값이 없으면 pending으로 봄)</t>
        </is>
      </c>
      <c r="F10" s="28" t="inlineStr">
        <is>
          <t>새 탭</t>
        </is>
      </c>
      <c r="G10" s="28" t="inlineStr">
        <is>
          <t>새 탭</t>
        </is>
      </c>
      <c r="H10" s="31" t="inlineStr">
        <is>
          <t>F06, F09</t>
        </is>
      </c>
    </row>
    <row r="12" ht="63.75" customHeight="1" s="25">
      <c r="A12" s="44" t="inlineStr">
        <is>
          <t>참고</t>
        </is>
      </c>
      <c r="C12" s="45" t="inlineStr">
        <is>
          <t>한 키는 한쪽(새 탭 또는 서비스 워커)만 쓴다. 두 쪽이 같은 키를 동시에 고치면 한쪽 값이 사라지기 때문이다(실행 확인: 120번 쓴 것 중 91개만 남음). 새 탭을 두 개 열어 놓고 같은 순간에 조작하는 경우는 드물어 따로 막지 않는다. 모두 chrome.storage.local에 저장하며 이 PC에만 남는다. 북마크 ID도 이 PC 안에서만 유효하다. 북마크 원본(제목·주소)은 저장하지 않고, history의 title만 기록 화면 표시용으로 남긴다.</t>
        </is>
      </c>
    </row>
  </sheetData>
  <autoFilter ref="A1:H10"/>
  <mergeCells count="1">
    <mergeCell ref="C12:H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4" min="1" max="1"/>
    <col width="70" customWidth="1" style="24" min="2" max="2"/>
    <col width="44" customWidth="1" style="24" min="3" max="3"/>
    <col width="10" customWidth="1" style="24" min="4" max="4"/>
    <col width="12" customWidth="1" style="24" min="5" max="5"/>
    <col width="20" customWidth="1" style="24" min="6" max="6"/>
    <col width="8" customWidth="1" style="24" min="7" max="7"/>
  </cols>
  <sheetData>
    <row r="1" ht="15" customHeight="1" s="25">
      <c r="A1" s="33" t="inlineStr">
        <is>
          <t>파일</t>
        </is>
      </c>
      <c r="B1" s="33" t="inlineStr">
        <is>
          <t>이 파일이 하는 일</t>
        </is>
      </c>
      <c r="C1" s="33" t="inlineStr">
        <is>
          <t>들어 있는 도메인</t>
        </is>
      </c>
      <c r="D1" s="33" t="inlineStr">
        <is>
          <t>담당(안)</t>
        </is>
      </c>
      <c r="E1" s="33" t="inlineStr">
        <is>
          <t>내부 함수 수</t>
        </is>
      </c>
      <c r="F1" s="33" t="inlineStr">
        <is>
          <t>작성 방식 (프로토타입은 참고만)</t>
        </is>
      </c>
      <c r="G1" s="33" t="inlineStr">
        <is>
          <t>이슈</t>
        </is>
      </c>
    </row>
    <row r="2" ht="29.25" customHeight="1" s="25">
      <c r="A2" s="31" t="inlineStr">
        <is>
          <t>manifest.json</t>
        </is>
      </c>
      <c r="B2" s="28" t="inlineStr">
        <is>
          <t>확장 프로그램의 설정 파일. 필요한 권한, 새 탭 바꾸기, 서비스 워커를 등록한다</t>
        </is>
      </c>
      <c r="C2" s="28" t="inlineStr">
        <is>
          <t>확장 프로그램 설정</t>
        </is>
      </c>
      <c r="D2" s="40" t="inlineStr">
        <is>
          <t>팀원 A</t>
        </is>
      </c>
      <c r="E2" s="39">
        <f>COUNTIF('API_내부 함수'!$D:$D,"manifest.json")</f>
        <v/>
      </c>
      <c r="F2" s="28" t="inlineStr">
        <is>
          <t>새로 작성</t>
        </is>
      </c>
      <c r="G2" s="28" t="inlineStr">
        <is>
          <t>#1</t>
        </is>
      </c>
    </row>
    <row r="3" ht="29.25" customHeight="1" s="25">
      <c r="A3" s="31" t="inlineStr">
        <is>
          <t>background.js</t>
        </is>
      </c>
      <c r="B3" s="28" t="inlineStr">
        <is>
          <t>서비스 워커. 새 탭이 닫혀 있어도 북마크가 새로 저장·이동·삭제되는 것을 받아 저장소에 기록한다</t>
        </is>
      </c>
      <c r="C3" s="28" t="inlineStr">
        <is>
          <t>새 북마크 정리, 직접 옮김 감지, 저장 항목</t>
        </is>
      </c>
      <c r="D3" s="43" t="inlineStr">
        <is>
          <t>팀원 B</t>
        </is>
      </c>
      <c r="E3" s="39">
        <f>COUNTIF('API_내부 함수'!$D:$D,"background.js")</f>
        <v/>
      </c>
      <c r="F3" s="28" t="inlineStr">
        <is>
          <t>새로 작성 (프로토타입에 검증된 참고 코드 있음)</t>
        </is>
      </c>
      <c r="G3" s="28" t="inlineStr">
        <is>
          <t>#6</t>
        </is>
      </c>
    </row>
    <row r="4" ht="29.25" customHeight="1" s="25">
      <c r="A4" s="31" t="inlineStr">
        <is>
          <t>js/store.js</t>
        </is>
      </c>
      <c r="B4" s="28" t="inlineStr">
        <is>
          <t>저장 항목을 읽고 쓰는 통로. 고정 목록, 연 시각, 정리 기록, '옮기는 중' 표시 등 모든 저장이 이 파일을 거친다</t>
        </is>
      </c>
      <c r="C4" s="28" t="inlineStr">
        <is>
          <t>저장 항목, 고정(독), 재발견, 직접 옮김 감지, 되돌리기·정리 기록</t>
        </is>
      </c>
      <c r="D4" s="40" t="inlineStr">
        <is>
          <t>팀원 A</t>
        </is>
      </c>
      <c r="E4" s="39">
        <f>COUNTIF('API_내부 함수'!$D:$D,"store.js")</f>
        <v/>
      </c>
      <c r="F4" s="28" t="inlineStr">
        <is>
          <t>새로 작성 (프로토타입에 검증된 참고 코드 있음)</t>
        </is>
      </c>
      <c r="G4" s="28" t="inlineStr">
        <is>
          <t>#3</t>
        </is>
      </c>
    </row>
    <row r="5" ht="29.25" customHeight="1" s="25">
      <c r="A5" s="31" t="inlineStr">
        <is>
          <t>js/bookmarks.js</t>
        </is>
      </c>
      <c r="B5" s="28" t="inlineStr">
        <is>
          <t>크롬 북마크를 읽고 바꾸는 통로. 전체 읽기, 폴더 만들기·이름 바꾸기·삭제, 북마크 옮기기·열기, 파비콘</t>
        </is>
      </c>
      <c r="C5" s="28" t="inlineStr">
        <is>
          <t>북마크 동기화, 앱 폴더, 정리 적용, 앱 표시·열기</t>
        </is>
      </c>
      <c r="D5" s="40" t="inlineStr">
        <is>
          <t>팀원 A</t>
        </is>
      </c>
      <c r="E5" s="39">
        <f>COUNTIF('API_내부 함수'!$D:$D,"bookmarks.js")</f>
        <v/>
      </c>
      <c r="F5" s="28" t="inlineStr">
        <is>
          <t>새로 작성 (프로토타입에 검증된 참고 코드 있음)</t>
        </is>
      </c>
      <c r="G5" s="28" t="inlineStr">
        <is>
          <t>#2</t>
        </is>
      </c>
    </row>
    <row r="6" ht="29.25" customHeight="1" s="25">
      <c r="A6" s="31" t="inlineStr">
        <is>
          <t>js/organize.js</t>
        </is>
      </c>
      <c r="B6" s="28" t="inlineStr">
        <is>
          <t>북마크를 실제로 바꾸는 정리 코드. 계획대로 옮기고 기록을 남기며, 기록을 보고 되돌린다</t>
        </is>
      </c>
      <c r="C6" s="28" t="inlineStr">
        <is>
          <t>정리 적용, 되돌리기·정리 기록</t>
        </is>
      </c>
      <c r="D6" s="40" t="inlineStr">
        <is>
          <t>팀원 A</t>
        </is>
      </c>
      <c r="E6" s="39">
        <f>COUNTIF('API_내부 함수'!$D:$D,"organize.js")</f>
        <v/>
      </c>
      <c r="F6" s="28" t="inlineStr">
        <is>
          <t>새로 작성 (프로토타입에 검증된 참고 코드 있음)</t>
        </is>
      </c>
      <c r="G6" s="28" t="inlineStr">
        <is>
          <t>#4</t>
        </is>
      </c>
    </row>
    <row r="7" ht="29.25" customHeight="1" s="25">
      <c r="A7" s="31" t="inlineStr">
        <is>
          <t>js/classify.js</t>
        </is>
      </c>
      <c r="B7" s="28" t="inlineStr">
        <is>
          <t>북마크 하나를 카테고리에 넣는 규칙. 정답지로 정확도를 재고, 새 북마크의 추천 폴더를 정한다 (계산만 함)</t>
        </is>
      </c>
      <c r="C7" s="28" t="inlineStr">
        <is>
          <t>분류 규칙, 새 북마크 정리</t>
        </is>
      </c>
      <c r="D7" s="43" t="inlineStr">
        <is>
          <t>팀원 B</t>
        </is>
      </c>
      <c r="E7" s="39">
        <f>COUNTIF('API_내부 함수'!$D:$D,"classify.js")</f>
        <v/>
      </c>
      <c r="F7" s="28" t="inlineStr">
        <is>
          <t>새로 작성 (프로토타입에 검증된 참고 코드 있음)</t>
        </is>
      </c>
      <c r="G7" s="28" t="inlineStr">
        <is>
          <t>#7</t>
        </is>
      </c>
    </row>
    <row r="8" ht="29.25" customHeight="1" s="25">
      <c r="A8" s="31" t="inlineStr">
        <is>
          <t>data/categories.json</t>
        </is>
      </c>
      <c r="B8" s="28" t="inlineStr">
        <is>
          <t>사이트 분류표, 주소 끝 규칙, 제목 키워드, 분류하지 않는 사이트. 코드가 아니라 데이터라서 사이트를 추가할 때 이 파일과 category-definitions.md 10번만 고친다</t>
        </is>
      </c>
      <c r="C8" s="28" t="inlineStr">
        <is>
          <t>분류 규칙</t>
        </is>
      </c>
      <c r="D8" s="43" t="inlineStr">
        <is>
          <t>팀원 B</t>
        </is>
      </c>
      <c r="E8" s="39">
        <f>COUNTIF('API_내부 함수'!$D:$D,"categories.json")</f>
        <v/>
      </c>
      <c r="F8" s="28" t="inlineStr">
        <is>
          <t>작성함 (v11, category-definitions.md 10번을 옮김)</t>
        </is>
      </c>
      <c r="G8" s="28" t="inlineStr">
        <is>
          <t>#10</t>
        </is>
      </c>
    </row>
    <row r="9" ht="29.25" customHeight="1" s="25">
      <c r="A9" s="31" t="inlineStr">
        <is>
          <t>js/forgotten.js</t>
        </is>
      </c>
      <c r="B9" s="28" t="inlineStr">
        <is>
          <t>마지막으로 연 시각을 정하고, 30일 넘게 안 연 북마크를 오래 안 연 순으로 고른다. 화면은 8개까지 보여 준다 (계산만 함)</t>
        </is>
      </c>
      <c r="C9" s="28" t="inlineStr">
        <is>
          <t>재발견</t>
        </is>
      </c>
      <c r="D9" s="43" t="inlineStr">
        <is>
          <t>팀원 B</t>
        </is>
      </c>
      <c r="E9" s="39">
        <f>COUNTIF('API_내부 함수'!$D:$D,"forgotten.js")</f>
        <v/>
      </c>
      <c r="F9" s="28" t="inlineStr">
        <is>
          <t>새로 작성 (프로토타입에 검증된 참고 코드 있음)</t>
        </is>
      </c>
      <c r="G9" s="28" t="inlineStr">
        <is>
          <t>#8</t>
        </is>
      </c>
    </row>
    <row r="10" ht="43.5" customHeight="1" s="25">
      <c r="A10" s="31" t="inlineStr">
        <is>
          <t>js/plan.js</t>
        </is>
      </c>
      <c r="B10" s="28" t="inlineStr">
        <is>
          <t>정리 대상을 고르고(북마크바 포함, 요즘 쓰는 북마크 제외) 폴더 계획을 세운다. 폴더를 못 만들면 고정 후보를, 새 북마크가 모이면 새 폴더를 제안한다 (계산만 함)</t>
        </is>
      </c>
      <c r="C10" s="28" t="inlineStr">
        <is>
          <t>폴더 계획, 고정 제안, 새 북마크 정리</t>
        </is>
      </c>
      <c r="D10" s="42" t="inlineStr">
        <is>
          <t>팀원 C</t>
        </is>
      </c>
      <c r="E10" s="39">
        <f>COUNTIF('API_내부 함수'!$D:$D,"plan.js")</f>
        <v/>
      </c>
      <c r="F10" s="28" t="inlineStr">
        <is>
          <t>새로 작성 (프로토타입에 검증된 참고 코드 있음)</t>
        </is>
      </c>
      <c r="G10" s="28" t="inlineStr">
        <is>
          <t>#11</t>
        </is>
      </c>
    </row>
    <row r="11" ht="15.75" customHeight="1" s="25">
      <c r="A11" s="31" t="inlineStr">
        <is>
          <t>js/topic.js</t>
        </is>
      </c>
      <c r="B11" s="28" t="inlineStr">
        <is>
          <t>큰 폴더 안에서 반복되는 주제 단어를 찾아 세부 폴더를 제안한다</t>
        </is>
      </c>
      <c r="C11" s="28" t="inlineStr">
        <is>
          <t>세부 폴더</t>
        </is>
      </c>
      <c r="D11" s="42" t="inlineStr">
        <is>
          <t>팀원 C</t>
        </is>
      </c>
      <c r="E11" s="39">
        <f>COUNTIF('API_내부 함수'!$D:$D,"topic.js")</f>
        <v/>
      </c>
      <c r="F11" s="28" t="inlineStr">
        <is>
          <t>새로 작성</t>
        </is>
      </c>
      <c r="G11" s="28" t="inlineStr">
        <is>
          <t>#12</t>
        </is>
      </c>
    </row>
    <row r="12" ht="43.5" customHeight="1" s="25">
      <c r="A12" s="31" t="inlineStr">
        <is>
          <t>js/render.js</t>
        </is>
      </c>
      <c r="B12" s="28" t="inlineStr">
        <is>
          <t>화면의 시작점. 북마크·저장소 알림을 받아 전체를 다시 그리고, 화면 파일(view/*)의 그리기 함수를 부른다. 헤더, 날짜, 화면 아래의 고정됨(독), 모든 북마크는 직접 그린다</t>
        </is>
      </c>
      <c r="C12" s="28" t="inlineStr">
        <is>
          <t>화면 배치, 앱 표시·열기</t>
        </is>
      </c>
      <c r="D12" s="41" t="inlineStr">
        <is>
          <t>팀원 D</t>
        </is>
      </c>
      <c r="E12" s="39">
        <f>COUNTIF('API_내부 함수'!$D:$D,"render.js")</f>
        <v/>
      </c>
      <c r="F12" s="28" t="inlineStr">
        <is>
          <t>새로 작성</t>
        </is>
      </c>
      <c r="G12" s="28" t="inlineStr">
        <is>
          <t>#15</t>
        </is>
      </c>
    </row>
    <row r="13" ht="15.75" customHeight="1" s="25">
      <c r="A13" s="31" t="inlineStr">
        <is>
          <t>newtab.html / newtab.css</t>
        </is>
      </c>
      <c r="B13" s="28" t="inlineStr">
        <is>
          <t>새 탭 화면의 뼈대와 모양</t>
        </is>
      </c>
      <c r="C13" s="28" t="inlineStr">
        <is>
          <t>화면 배치</t>
        </is>
      </c>
      <c r="D13" s="41" t="inlineStr">
        <is>
          <t>팀원 D</t>
        </is>
      </c>
      <c r="E13" s="39">
        <f>COUNTIF('API_내부 함수'!$D:$D," newtab.css")</f>
        <v/>
      </c>
      <c r="F13" s="28" t="inlineStr">
        <is>
          <t>새로 작성</t>
        </is>
      </c>
      <c r="G13" s="28" t="inlineStr">
        <is>
          <t>#14</t>
        </is>
      </c>
    </row>
    <row r="14" ht="29.25" customHeight="1" s="25">
      <c r="A14" s="31" t="inlineStr">
        <is>
          <t>js/search.js</t>
        </is>
      </c>
      <c r="B14" s="28" t="inlineStr">
        <is>
          <t>웹 검색창(위쪽. 주소 판별, 기본 검색엔진 호출)과 북마크 검색(모든 북마크 영역의 검색창). 두 검색창은 연동하지 않는다</t>
        </is>
      </c>
      <c r="C14" s="28" t="inlineStr">
        <is>
          <t>웹 검색, 북마크 검색</t>
        </is>
      </c>
      <c r="D14" s="41" t="inlineStr">
        <is>
          <t>팀원 D</t>
        </is>
      </c>
      <c r="E14" s="39">
        <f>COUNTIF('API_내부 함수'!$D:$D,"search.js")</f>
        <v/>
      </c>
      <c r="F14" s="28" t="inlineStr">
        <is>
          <t>새로 작성 (프로토타입에 검증된 참고 코드 있음)</t>
        </is>
      </c>
      <c r="G14" s="28" t="inlineStr">
        <is>
          <t>#18</t>
        </is>
      </c>
    </row>
    <row r="15" ht="15.75" customHeight="1" s="25">
      <c r="A15" s="31" t="inlineStr">
        <is>
          <t>js/dnd.js</t>
        </is>
      </c>
      <c r="B15" s="28" t="inlineStr">
        <is>
          <t>끌어서 폴더에 넣기와 순서 바꾸기 (SortableJS)</t>
        </is>
      </c>
      <c r="C15" s="28" t="inlineStr">
        <is>
          <t>드래그 이동</t>
        </is>
      </c>
      <c r="D15" s="41" t="inlineStr">
        <is>
          <t>팀원 D</t>
        </is>
      </c>
      <c r="E15" s="39">
        <f>COUNTIF('API_내부 함수'!$D:$D,"dnd.js")</f>
        <v/>
      </c>
      <c r="F15" s="28" t="inlineStr">
        <is>
          <t>새로 작성</t>
        </is>
      </c>
      <c r="G15" s="28" t="inlineStr">
        <is>
          <t>#19</t>
        </is>
      </c>
    </row>
    <row r="16" ht="29.25" customHeight="1" s="25">
      <c r="A16" s="31" t="inlineStr">
        <is>
          <t>js/view/cards.js</t>
        </is>
      </c>
      <c r="B16" s="28" t="inlineStr">
        <is>
          <t>첫 정리 카드, 고정 제안 카드, 자세히 보기와 [정리하기] 창, 고정할 북마크 고르기 창. 고정 제안의 권한 요청</t>
        </is>
      </c>
      <c r="C16" s="28" t="inlineStr">
        <is>
          <t>정리 카드, 고정 제안(권한 요청), 새 북마크 정리(창)</t>
        </is>
      </c>
      <c r="D16" s="41" t="inlineStr">
        <is>
          <t>팀원 D</t>
        </is>
      </c>
      <c r="E16" s="39">
        <f>COUNTIF('API_내부 함수'!$D:$D,"view/cards.js")</f>
        <v/>
      </c>
      <c r="F16" s="28" t="inlineStr">
        <is>
          <t>새로 작성</t>
        </is>
      </c>
      <c r="G16" s="28" t="inlineStr">
        <is>
          <t>#17</t>
        </is>
      </c>
    </row>
    <row r="17" ht="15.75" customHeight="1" s="25">
      <c r="A17" s="31" t="inlineStr">
        <is>
          <t>js/view/folders.js</t>
        </is>
      </c>
      <c r="B17" s="28" t="inlineStr">
        <is>
          <t>내 폴더 줄, 폴더 팝업, 폴더 만들기·이름 바꾸기·삭제, 우클릭 메뉴</t>
        </is>
      </c>
      <c r="C17" s="28" t="inlineStr">
        <is>
          <t>앱 폴더, 우클릭 이동</t>
        </is>
      </c>
      <c r="D17" s="41" t="inlineStr">
        <is>
          <t>팀원 C</t>
        </is>
      </c>
      <c r="E17" s="39">
        <f>COUNTIF('API_내부 함수'!$D:$D,"view/folders.js")</f>
        <v/>
      </c>
      <c r="F17" s="28" t="inlineStr">
        <is>
          <t>새로 작성</t>
        </is>
      </c>
      <c r="G17" s="28" t="inlineStr">
        <is>
          <t>#13</t>
        </is>
      </c>
    </row>
    <row r="18" ht="29.25" customHeight="1" s="25">
      <c r="A18" s="31" t="inlineStr">
        <is>
          <t>js/view/forgottenFolder.js</t>
        </is>
      </c>
      <c r="B18" s="28" t="inlineStr">
        <is>
          <t>잊고 있던 북마크 폴더와 팝업 (8개까지 표시)</t>
        </is>
      </c>
      <c r="C18" s="28" t="inlineStr">
        <is>
          <t>재발견</t>
        </is>
      </c>
      <c r="D18" s="41" t="inlineStr">
        <is>
          <t>팀원 B</t>
        </is>
      </c>
      <c r="E18" s="39">
        <f>COUNTIF('API_내부 함수'!$D:$D,"view/forgottenFolder.js")</f>
        <v/>
      </c>
      <c r="F18" s="28" t="inlineStr">
        <is>
          <t>새로 작성</t>
        </is>
      </c>
      <c r="G18" s="28" t="inlineStr">
        <is>
          <t>#9</t>
        </is>
      </c>
    </row>
    <row r="19" ht="15.75" customHeight="1" s="25">
      <c r="A19" s="31" t="inlineStr">
        <is>
          <t>js/view/history.js</t>
        </is>
      </c>
      <c r="B19" s="28" t="inlineStr">
        <is>
          <t>정리 결과 안내([되돌리기])와 정리 기록 화면</t>
        </is>
      </c>
      <c r="C19" s="28" t="inlineStr">
        <is>
          <t>되돌리기·정리 기록</t>
        </is>
      </c>
      <c r="D19" s="41" t="inlineStr">
        <is>
          <t>팀원 A</t>
        </is>
      </c>
      <c r="E19" s="39">
        <f>COUNTIF('API_내부 함수'!$D:$D,"view/history.js")</f>
        <v/>
      </c>
      <c r="F19" s="28" t="inlineStr">
        <is>
          <t>새로 작성</t>
        </is>
      </c>
      <c r="G19" s="28" t="inlineStr">
        <is>
          <t>#5</t>
        </is>
      </c>
    </row>
    <row r="20" ht="15.75" customHeight="1" s="25">
      <c r="A20" s="31" t="inlineStr">
        <is>
          <t>js/ui.js</t>
        </is>
      </c>
      <c r="B20" s="28" t="inlineStr">
        <is>
          <t>모든 화면 파일이 함께 쓰는 공통 화면 조각. 앱 아이콘(색 타일 위의 파비콘, 없으면 첫 글자), 짧은 안내 문구, 선 아이콘</t>
        </is>
      </c>
      <c r="C20" s="28" t="inlineStr">
        <is>
          <t>앱 표시·열기, 화면 배치</t>
        </is>
      </c>
      <c r="D20" s="41" t="inlineStr">
        <is>
          <t>팀원 D</t>
        </is>
      </c>
      <c r="E20" s="39">
        <f>COUNTIF('API_내부 함수'!$D:$D,"ui.js")</f>
        <v/>
      </c>
      <c r="F20" s="28" t="inlineStr">
        <is>
          <t>새로 작성</t>
        </is>
      </c>
      <c r="G20" s="28" t="inlineStr">
        <is>
          <t>#16</t>
        </is>
      </c>
    </row>
  </sheetData>
  <autoFilter ref="A1:F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2026-10-05T08:39:28Z</dcterms:created>
  <dcterms:modified xsi:type="dcterms:W3CDTF">2026-10-29T14:00:18Z</dcterms:modified>
  <cp:revision>0</cp:revision>
</cp:coreProperties>
</file>