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개요" sheetId="1" state="visible" r:id="rId3"/>
    <sheet name="기능 명세" sheetId="2" state="visible" r:id="rId4"/>
    <sheet name="API_크롬" sheetId="3" state="visible" r:id="rId5"/>
    <sheet name="API_내부 함수" sheetId="4" state="visible" r:id="rId6"/>
    <sheet name="참고_저장 항목" sheetId="5" state="visible" r:id="rId7"/>
    <sheet name="파일별 역할" sheetId="6" state="visible" r:id="rId8"/>
  </sheets>
  <definedNames>
    <definedName function="false" hidden="true" localSheetId="3" name="_xlnm._FilterDatabase" vbProcedure="false">'API_내부 함수'!$A$1:$M$47</definedName>
    <definedName function="false" hidden="true" localSheetId="2" name="_xlnm._FilterDatabase" vbProcedure="false">API_크롬!$A$1:$L$23</definedName>
    <definedName function="false" hidden="true" localSheetId="1" name="_xlnm._FilterDatabase" vbProcedure="false">'기능 명세'!$A$1:$N$118</definedName>
    <definedName function="false" hidden="true" localSheetId="4" name="_xlnm._FilterDatabase" vbProcedure="false">'참고_저장 항목'!$A$1:$H$10</definedName>
    <definedName function="false" hidden="true" localSheetId="5" name="_xlnm._FilterDatabase" vbProcedure="false">'파일별 역할'!$A$1:$F$20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<sst xmlns="http://schemas.openxmlformats.org/spreadsheetml/2006/main" count="2842" uniqueCount="1025">
  <si>
    <t xml:space="preserve">기능 명세 · API 명세 (새 탭 북마크 도구)</t>
  </si>
  <si>
    <t xml:space="preserve">기준 문서</t>
  </si>
  <si>
    <t xml:space="preserve">service-plan.md, 4주차 강의 자료(EARS), 확정 디자인 시안(Figma Make, 10월 6일), category-definitions.md(카테고리 정의와 분류표, 10월 7일)</t>
  </si>
  <si>
    <t xml:space="preserve">작성일 · 판</t>
  </si>
  <si>
    <r>
      <rPr>
        <sz val="10"/>
        <rFont val="맑은 고딕"/>
        <family val="0"/>
        <charset val="1"/>
      </rPr>
      <t xml:space="preserve">2026-10-07 · v13 (v2: </t>
    </r>
    <r>
      <rPr>
        <sz val="10"/>
        <rFont val="Noto Sans CJK SC"/>
        <family val="2"/>
      </rPr>
      <t xml:space="preserve">읽어서 점검 </t>
    </r>
    <r>
      <rPr>
        <sz val="10"/>
        <rFont val="맑은 고딕"/>
        <family val="0"/>
        <charset val="1"/>
      </rPr>
      <t xml:space="preserve">/ v3: </t>
    </r>
    <r>
      <rPr>
        <sz val="10"/>
        <rFont val="Noto Sans CJK SC"/>
        <family val="2"/>
      </rPr>
      <t xml:space="preserve">시험용 확장 프로그램 실행 </t>
    </r>
    <r>
      <rPr>
        <sz val="10"/>
        <rFont val="맑은 고딕"/>
        <family val="0"/>
        <charset val="1"/>
      </rPr>
      <t xml:space="preserve">/ v4: </t>
    </r>
    <r>
      <rPr>
        <sz val="10"/>
        <rFont val="Noto Sans CJK SC"/>
        <family val="2"/>
      </rPr>
      <t xml:space="preserve">프로토타입 구현</t>
    </r>
    <r>
      <rPr>
        <sz val="10"/>
        <rFont val="맑은 고딕"/>
        <family val="0"/>
        <charset val="1"/>
      </rPr>
      <t xml:space="preserve">·</t>
    </r>
    <r>
      <rPr>
        <sz val="10"/>
        <rFont val="Noto Sans CJK SC"/>
        <family val="2"/>
      </rPr>
      <t xml:space="preserve">검증 </t>
    </r>
    <r>
      <rPr>
        <sz val="10"/>
        <rFont val="맑은 고딕"/>
        <family val="0"/>
        <charset val="1"/>
      </rPr>
      <t xml:space="preserve">/ v5: </t>
    </r>
    <r>
      <rPr>
        <sz val="10"/>
        <rFont val="Noto Sans CJK SC"/>
        <family val="2"/>
      </rPr>
      <t xml:space="preserve">남은 결정 </t>
    </r>
    <r>
      <rPr>
        <sz val="10"/>
        <rFont val="맑은 고딕"/>
        <family val="0"/>
        <charset val="1"/>
      </rPr>
      <t xml:space="preserve">8</t>
    </r>
    <r>
      <rPr>
        <sz val="10"/>
        <rFont val="Noto Sans CJK SC"/>
        <family val="2"/>
      </rPr>
      <t xml:space="preserve">개 확정 </t>
    </r>
    <r>
      <rPr>
        <sz val="10"/>
        <rFont val="맑은 고딕"/>
        <family val="0"/>
        <charset val="1"/>
      </rPr>
      <t xml:space="preserve">/ v6·v7: </t>
    </r>
    <r>
      <rPr>
        <sz val="10"/>
        <rFont val="Noto Sans CJK SC"/>
        <family val="2"/>
      </rPr>
      <t xml:space="preserve">상세 도메인 </t>
    </r>
    <r>
      <rPr>
        <sz val="10"/>
        <rFont val="맑은 고딕"/>
        <family val="0"/>
        <charset val="1"/>
      </rPr>
      <t xml:space="preserve">21</t>
    </r>
    <r>
      <rPr>
        <sz val="10"/>
        <rFont val="Noto Sans CJK SC"/>
        <family val="2"/>
      </rPr>
      <t xml:space="preserve">개와 담당</t>
    </r>
    <r>
      <rPr>
        <sz val="10"/>
        <rFont val="맑은 고딕"/>
        <family val="0"/>
        <charset val="1"/>
      </rPr>
      <t xml:space="preserve">(</t>
    </r>
    <r>
      <rPr>
        <sz val="10"/>
        <rFont val="Noto Sans CJK SC"/>
        <family val="2"/>
      </rPr>
      <t xml:space="preserve">안</t>
    </r>
    <r>
      <rPr>
        <sz val="10"/>
        <rFont val="맑은 고딕"/>
        <family val="0"/>
        <charset val="1"/>
      </rPr>
      <t xml:space="preserve">) </t>
    </r>
    <r>
      <rPr>
        <sz val="10"/>
        <rFont val="Noto Sans CJK SC"/>
        <family val="2"/>
      </rPr>
      <t xml:space="preserve">열</t>
    </r>
    <r>
      <rPr>
        <sz val="10"/>
        <rFont val="맑은 고딕"/>
        <family val="0"/>
        <charset val="1"/>
      </rPr>
      <t xml:space="preserve">, </t>
    </r>
    <r>
      <rPr>
        <sz val="10"/>
        <rFont val="Noto Sans CJK SC"/>
        <family val="2"/>
      </rPr>
      <t xml:space="preserve">파일별 역할 시트 </t>
    </r>
    <r>
      <rPr>
        <sz val="10"/>
        <rFont val="맑은 고딕"/>
        <family val="0"/>
        <charset val="1"/>
      </rPr>
      <t xml:space="preserve">/ v8: </t>
    </r>
    <r>
      <rPr>
        <sz val="10"/>
        <rFont val="Noto Sans CJK SC"/>
        <family val="2"/>
      </rPr>
      <t xml:space="preserve">전체 문서 대조</t>
    </r>
    <r>
      <rPr>
        <sz val="10"/>
        <rFont val="맑은 고딕"/>
        <family val="0"/>
        <charset val="1"/>
      </rPr>
      <t xml:space="preserve">. </t>
    </r>
    <r>
      <rPr>
        <sz val="10"/>
        <rFont val="Noto Sans CJK SC"/>
        <family val="2"/>
      </rPr>
      <t xml:space="preserve">권한 요청 위치를 </t>
    </r>
    <r>
      <rPr>
        <sz val="10"/>
        <rFont val="맑은 고딕"/>
        <family val="0"/>
        <charset val="1"/>
      </rPr>
      <t xml:space="preserve">render.js</t>
    </r>
    <r>
      <rPr>
        <sz val="10"/>
        <rFont val="Noto Sans CJK SC"/>
        <family val="2"/>
      </rPr>
      <t xml:space="preserve">로</t>
    </r>
    <r>
      <rPr>
        <sz val="10"/>
        <rFont val="맑은 고딕"/>
        <family val="0"/>
        <charset val="1"/>
      </rPr>
      <t xml:space="preserve">, store.js </t>
    </r>
    <r>
      <rPr>
        <sz val="10"/>
        <rFont val="Noto Sans CJK SC"/>
        <family val="2"/>
      </rPr>
      <t xml:space="preserve">함수 </t>
    </r>
    <r>
      <rPr>
        <sz val="10"/>
        <rFont val="맑은 고딕"/>
        <family val="0"/>
        <charset val="1"/>
      </rPr>
      <t xml:space="preserve">3</t>
    </r>
    <r>
      <rPr>
        <sz val="10"/>
        <rFont val="Noto Sans CJK SC"/>
        <family val="2"/>
      </rPr>
      <t xml:space="preserve">줄 추가 </t>
    </r>
    <r>
      <rPr>
        <sz val="10"/>
        <rFont val="맑은 고딕"/>
        <family val="0"/>
        <charset val="1"/>
      </rPr>
      <t xml:space="preserve">/ v9: </t>
    </r>
    <r>
      <rPr>
        <sz val="10"/>
        <rFont val="Noto Sans CJK SC"/>
        <family val="2"/>
      </rPr>
      <t xml:space="preserve">북마크바를 정리 대상에 포함</t>
    </r>
    <r>
      <rPr>
        <sz val="10"/>
        <rFont val="맑은 고딕"/>
        <family val="0"/>
        <charset val="1"/>
      </rPr>
      <t xml:space="preserve">, </t>
    </r>
    <r>
      <rPr>
        <sz val="10"/>
        <rFont val="Noto Sans CJK SC"/>
        <family val="2"/>
      </rPr>
      <t xml:space="preserve">새 폴더를 북마크바 맨 뒤에 생성</t>
    </r>
    <r>
      <rPr>
        <sz val="10"/>
        <rFont val="맑은 고딕"/>
        <family val="0"/>
        <charset val="1"/>
      </rPr>
      <t xml:space="preserve">, </t>
    </r>
    <r>
      <rPr>
        <sz val="10"/>
        <rFont val="Noto Sans CJK SC"/>
        <family val="2"/>
      </rPr>
      <t xml:space="preserve">요즘 쓰는 북마크 보호</t>
    </r>
    <r>
      <rPr>
        <sz val="10"/>
        <rFont val="맑은 고딕"/>
        <family val="0"/>
        <charset val="1"/>
      </rPr>
      <t xml:space="preserve">, </t>
    </r>
    <r>
      <rPr>
        <sz val="10"/>
        <rFont val="Noto Sans CJK SC"/>
        <family val="2"/>
      </rPr>
      <t xml:space="preserve">잊고 있던 북마크 </t>
    </r>
    <r>
      <rPr>
        <sz val="10"/>
        <rFont val="맑은 고딕"/>
        <family val="0"/>
        <charset val="1"/>
      </rPr>
      <t xml:space="preserve">8</t>
    </r>
    <r>
      <rPr>
        <sz val="10"/>
        <rFont val="Noto Sans CJK SC"/>
        <family val="2"/>
      </rPr>
      <t xml:space="preserve">개 상한과 </t>
    </r>
    <r>
      <rPr>
        <sz val="10"/>
        <rFont val="맑은 고딕"/>
        <family val="0"/>
        <charset val="1"/>
      </rPr>
      <t xml:space="preserve">"</t>
    </r>
    <r>
      <rPr>
        <sz val="10"/>
        <rFont val="Noto Sans CJK SC"/>
        <family val="2"/>
      </rPr>
      <t xml:space="preserve">연 기록 없음</t>
    </r>
    <r>
      <rPr>
        <sz val="10"/>
        <rFont val="맑은 고딕"/>
        <family val="0"/>
        <charset val="1"/>
      </rPr>
      <t xml:space="preserve">", </t>
    </r>
    <r>
      <rPr>
        <sz val="10"/>
        <rFont val="Noto Sans CJK SC"/>
        <family val="2"/>
      </rPr>
      <t xml:space="preserve">우선순위를 </t>
    </r>
    <r>
      <rPr>
        <sz val="10"/>
        <rFont val="맑은 고딕"/>
        <family val="0"/>
        <charset val="1"/>
      </rPr>
      <t xml:space="preserve">P1·P2·P3</t>
    </r>
    <r>
      <rPr>
        <sz val="10"/>
        <rFont val="Noto Sans CJK SC"/>
        <family val="2"/>
      </rPr>
      <t xml:space="preserve">로 변경</t>
    </r>
    <r>
      <rPr>
        <sz val="10"/>
        <rFont val="맑은 고딕"/>
        <family val="0"/>
        <charset val="1"/>
      </rPr>
      <t xml:space="preserve">, </t>
    </r>
    <r>
      <rPr>
        <sz val="10"/>
        <rFont val="Noto Sans CJK SC"/>
        <family val="2"/>
      </rPr>
      <t xml:space="preserve">확정 디자인 시안 반영 </t>
    </r>
    <r>
      <rPr>
        <sz val="10"/>
        <rFont val="맑은 고딕"/>
        <family val="0"/>
        <charset val="1"/>
      </rPr>
      <t xml:space="preserve">/ v10: </t>
    </r>
    <r>
      <rPr>
        <sz val="10"/>
        <rFont val="Noto Sans CJK SC"/>
        <family val="2"/>
      </rPr>
      <t xml:space="preserve">프로토타입 코드를 쓰지 않고 새로 작성</t>
    </r>
    <r>
      <rPr>
        <sz val="10"/>
        <rFont val="맑은 고딕"/>
        <family val="0"/>
        <charset val="1"/>
      </rPr>
      <t xml:space="preserve">, </t>
    </r>
    <r>
      <rPr>
        <sz val="10"/>
        <rFont val="Noto Sans CJK SC"/>
        <family val="2"/>
      </rPr>
      <t xml:space="preserve">화면 파일을 </t>
    </r>
    <r>
      <rPr>
        <sz val="10"/>
        <rFont val="맑은 고딕"/>
        <family val="0"/>
        <charset val="1"/>
      </rPr>
      <t xml:space="preserve">render.js + view/ </t>
    </r>
    <r>
      <rPr>
        <sz val="10"/>
        <rFont val="Noto Sans CJK SC"/>
        <family val="2"/>
      </rPr>
      <t xml:space="preserve">아래 </t>
    </r>
    <r>
      <rPr>
        <sz val="10"/>
        <rFont val="맑은 고딕"/>
        <family val="0"/>
        <charset val="1"/>
      </rPr>
      <t xml:space="preserve">4</t>
    </r>
    <r>
      <rPr>
        <sz val="10"/>
        <rFont val="Noto Sans CJK SC"/>
        <family val="2"/>
      </rPr>
      <t xml:space="preserve">개로 나눔</t>
    </r>
    <r>
      <rPr>
        <sz val="10"/>
        <rFont val="맑은 고딕"/>
        <family val="0"/>
        <charset val="1"/>
      </rPr>
      <t xml:space="preserve">, </t>
    </r>
    <r>
      <rPr>
        <sz val="10"/>
        <rFont val="Noto Sans CJK SC"/>
        <family val="2"/>
      </rPr>
      <t xml:space="preserve">코드를 </t>
    </r>
    <r>
      <rPr>
        <sz val="10"/>
        <rFont val="맑은 고딕"/>
        <family val="0"/>
        <charset val="1"/>
      </rPr>
      <t xml:space="preserve">extension/ </t>
    </r>
    <r>
      <rPr>
        <sz val="10"/>
        <rFont val="Noto Sans CJK SC"/>
        <family val="2"/>
      </rPr>
      <t xml:space="preserve">폴더로 분리 </t>
    </r>
    <r>
      <rPr>
        <sz val="10"/>
        <rFont val="맑은 고딕"/>
        <family val="0"/>
        <charset val="1"/>
      </rPr>
      <t xml:space="preserve">/ v11: </t>
    </r>
    <r>
      <rPr>
        <sz val="10"/>
        <rFont val="Noto Sans CJK SC"/>
        <family val="2"/>
      </rPr>
      <t xml:space="preserve">공통 화면 파일 </t>
    </r>
    <r>
      <rPr>
        <sz val="10"/>
        <rFont val="맑은 고딕"/>
        <family val="0"/>
        <charset val="1"/>
      </rPr>
      <t xml:space="preserve">ui.js </t>
    </r>
    <r>
      <rPr>
        <sz val="10"/>
        <rFont val="Noto Sans CJK SC"/>
        <family val="2"/>
      </rPr>
      <t xml:space="preserve">추가</t>
    </r>
    <r>
      <rPr>
        <sz val="10"/>
        <rFont val="맑은 고딕"/>
        <family val="0"/>
        <charset val="1"/>
      </rPr>
      <t xml:space="preserve">(N44~N46), </t>
    </r>
    <r>
      <rPr>
        <sz val="10"/>
        <rFont val="Noto Sans CJK SC"/>
        <family val="2"/>
      </rPr>
      <t xml:space="preserve">분류표 형태와 분류하지 않는 사이트</t>
    </r>
    <r>
      <rPr>
        <sz val="10"/>
        <rFont val="맑은 고딕"/>
        <family val="0"/>
        <charset val="1"/>
      </rPr>
      <t xml:space="preserve">(F05-01, N17), measure </t>
    </r>
    <r>
      <rPr>
        <sz val="10"/>
        <rFont val="Noto Sans CJK SC"/>
        <family val="2"/>
      </rPr>
      <t xml:space="preserve">출력 이름</t>
    </r>
    <r>
      <rPr>
        <sz val="10"/>
        <rFont val="맑은 고딕"/>
        <family val="0"/>
        <charset val="1"/>
      </rPr>
      <t xml:space="preserve">(N18), </t>
    </r>
    <r>
      <rPr>
        <sz val="10"/>
        <rFont val="Noto Sans CJK SC"/>
        <family val="2"/>
      </rPr>
      <t xml:space="preserve">팝업은 </t>
    </r>
    <r>
      <rPr>
        <sz val="10"/>
        <rFont val="맑은 고딕"/>
        <family val="0"/>
        <charset val="1"/>
      </rPr>
      <t xml:space="preserve">&lt;dialog&gt;(F12-04), </t>
    </r>
    <r>
      <rPr>
        <sz val="10"/>
        <rFont val="Noto Sans CJK SC"/>
        <family val="2"/>
      </rPr>
      <t xml:space="preserve">문서 이름을 영어로 변경 </t>
    </r>
    <r>
      <rPr>
        <sz val="10"/>
        <rFont val="맑은 고딕"/>
        <family val="0"/>
        <charset val="1"/>
      </rPr>
      <t xml:space="preserve">/ v12: 5</t>
    </r>
    <r>
      <rPr>
        <sz val="10"/>
        <rFont val="Noto Sans CJK SC"/>
        <family val="2"/>
      </rPr>
      <t xml:space="preserve">주차 활동지를 저장소에서 빼고 </t>
    </r>
    <r>
      <rPr>
        <sz val="10"/>
        <rFont val="맑은 고딕"/>
        <family val="0"/>
        <charset val="1"/>
      </rPr>
      <t xml:space="preserve">'</t>
    </r>
    <r>
      <rPr>
        <sz val="10"/>
        <rFont val="Noto Sans CJK SC"/>
        <family val="2"/>
      </rPr>
      <t xml:space="preserve">관련 태스크</t>
    </r>
    <r>
      <rPr>
        <sz val="10"/>
        <rFont val="맑은 고딕"/>
        <family val="0"/>
        <charset val="1"/>
      </rPr>
      <t xml:space="preserve">' </t>
    </r>
    <r>
      <rPr>
        <sz val="10"/>
        <rFont val="Noto Sans CJK SC"/>
        <family val="2"/>
      </rPr>
      <t xml:space="preserve">열을 </t>
    </r>
    <r>
      <rPr>
        <sz val="10"/>
        <rFont val="맑은 고딕"/>
        <family val="0"/>
        <charset val="1"/>
      </rPr>
      <t xml:space="preserve">'</t>
    </r>
    <r>
      <rPr>
        <sz val="10"/>
        <rFont val="Noto Sans CJK SC"/>
        <family val="2"/>
      </rPr>
      <t xml:space="preserve">관련 이슈</t>
    </r>
    <r>
      <rPr>
        <sz val="10"/>
        <rFont val="맑은 고딕"/>
        <family val="0"/>
        <charset val="1"/>
      </rPr>
      <t xml:space="preserve">'</t>
    </r>
    <r>
      <rPr>
        <sz val="10"/>
        <rFont val="Noto Sans CJK SC"/>
        <family val="2"/>
      </rPr>
      <t xml:space="preserve">로 바꿈</t>
    </r>
    <r>
      <rPr>
        <sz val="10"/>
        <rFont val="맑은 고딕"/>
        <family val="0"/>
        <charset val="1"/>
      </rPr>
      <t xml:space="preserve">. GitHub </t>
    </r>
    <r>
      <rPr>
        <sz val="10"/>
        <rFont val="Noto Sans CJK SC"/>
        <family val="2"/>
      </rPr>
      <t xml:space="preserve">이슈 </t>
    </r>
    <r>
      <rPr>
        <sz val="10"/>
        <rFont val="맑은 고딕"/>
        <family val="0"/>
        <charset val="1"/>
      </rPr>
      <t xml:space="preserve">#1~#19 = </t>
    </r>
    <r>
      <rPr>
        <sz val="10"/>
        <rFont val="Noto Sans CJK SC"/>
        <family val="2"/>
      </rPr>
      <t xml:space="preserve">파일 </t>
    </r>
    <r>
      <rPr>
        <sz val="10"/>
        <rFont val="맑은 고딕"/>
        <family val="0"/>
        <charset val="1"/>
      </rPr>
      <t xml:space="preserve">19</t>
    </r>
    <r>
      <rPr>
        <sz val="10"/>
        <rFont val="Noto Sans CJK SC"/>
        <family val="2"/>
      </rPr>
      <t xml:space="preserve">개</t>
    </r>
    <r>
      <rPr>
        <sz val="10"/>
        <rFont val="맑은 고딕"/>
        <family val="0"/>
        <charset val="1"/>
      </rPr>
      <t xml:space="preserve">('</t>
    </r>
    <r>
      <rPr>
        <sz val="10"/>
        <rFont val="Noto Sans CJK SC"/>
        <family val="2"/>
      </rPr>
      <t xml:space="preserve">파일별 역할</t>
    </r>
    <r>
      <rPr>
        <sz val="10"/>
        <rFont val="맑은 고딕"/>
        <family val="0"/>
        <charset val="1"/>
      </rPr>
      <t xml:space="preserve">' </t>
    </r>
    <r>
      <rPr>
        <sz val="10"/>
        <rFont val="Noto Sans CJK SC"/>
        <family val="2"/>
      </rPr>
      <t xml:space="preserve">시트의 이슈 열</t>
    </r>
    <r>
      <rPr>
        <sz val="10"/>
        <rFont val="맑은 고딕"/>
        <family val="0"/>
        <charset val="1"/>
      </rPr>
      <t xml:space="preserve">), #22~#24 = </t>
    </r>
    <r>
      <rPr>
        <sz val="10"/>
        <rFont val="Noto Sans CJK SC"/>
        <family val="2"/>
      </rPr>
      <t xml:space="preserve">우선순위별 요구사항 확인 목록</t>
    </r>
    <r>
      <rPr>
        <sz val="10"/>
        <rFont val="맑은 고딕"/>
        <family val="0"/>
        <charset val="1"/>
      </rPr>
      <t xml:space="preserve">. N06</t>
    </r>
    <r>
      <rPr>
        <sz val="10"/>
        <rFont val="Noto Sans CJK SC"/>
        <family val="2"/>
      </rPr>
      <t xml:space="preserve">의 출력과 </t>
    </r>
    <r>
      <rPr>
        <sz val="10"/>
        <rFont val="맑은 고딕"/>
        <family val="0"/>
        <charset val="1"/>
      </rPr>
      <t xml:space="preserve">C19</t>
    </r>
    <r>
      <rPr>
        <sz val="10"/>
        <rFont val="Noto Sans CJK SC"/>
        <family val="2"/>
      </rPr>
      <t xml:space="preserve">의 주의에서 서로 어긋나던 문장을 맞춤</t>
    </r>
    <r>
      <rPr>
        <sz val="10"/>
        <rFont val="맑은 고딕"/>
        <family val="0"/>
        <charset val="1"/>
      </rPr>
      <t xml:space="preserve">. </t>
    </r>
    <r>
      <rPr>
        <sz val="10"/>
        <rFont val="Noto Sans CJK SC"/>
        <family val="2"/>
      </rPr>
      <t xml:space="preserve">크롬 가져오기 폴더의 바로 아래 북마크를 정리 대상에 포함</t>
    </r>
    <r>
      <rPr>
        <sz val="10"/>
        <rFont val="맑은 고딕"/>
        <family val="0"/>
        <charset val="1"/>
      </rPr>
      <t xml:space="preserve">(F05-04, N19) / v13: </t>
    </r>
    <r>
      <rPr>
        <sz val="10"/>
        <rFont val="Noto Sans CJK SC"/>
        <family val="2"/>
      </rPr>
      <t xml:space="preserve">화면 연결 방식 확정</t>
    </r>
    <r>
      <rPr>
        <sz val="10"/>
        <rFont val="맑은 고딕"/>
        <family val="0"/>
        <charset val="1"/>
      </rPr>
      <t xml:space="preserve">. </t>
    </r>
    <r>
      <rPr>
        <sz val="10"/>
        <rFont val="Noto Sans CJK SC"/>
        <family val="2"/>
      </rPr>
      <t xml:space="preserve">내 폴더 줄을 그리는 </t>
    </r>
    <r>
      <rPr>
        <sz val="10"/>
        <rFont val="맑은 고딕"/>
        <family val="0"/>
        <charset val="1"/>
      </rPr>
      <t xml:space="preserve">showFolders </t>
    </r>
    <r>
      <rPr>
        <sz val="10"/>
        <rFont val="Noto Sans CJK SC"/>
        <family val="2"/>
      </rPr>
      <t xml:space="preserve">추가</t>
    </r>
    <r>
      <rPr>
        <sz val="10"/>
        <rFont val="맑은 고딕"/>
        <family val="0"/>
        <charset val="1"/>
      </rPr>
      <t xml:space="preserve">(N41), </t>
    </r>
    <r>
      <rPr>
        <sz val="10"/>
        <rFont val="Noto Sans CJK SC"/>
        <family val="2"/>
      </rPr>
      <t xml:space="preserve">다른 화면 파일의 동작은 </t>
    </r>
    <r>
      <rPr>
        <sz val="10"/>
        <rFont val="맑은 고딕"/>
        <family val="0"/>
        <charset val="1"/>
      </rPr>
      <t xml:space="preserve">render.js</t>
    </r>
    <r>
      <rPr>
        <sz val="10"/>
        <rFont val="Noto Sans CJK SC"/>
        <family val="2"/>
      </rPr>
      <t xml:space="preserve">가 동작 묶음</t>
    </r>
    <r>
      <rPr>
        <sz val="10"/>
        <rFont val="맑은 고딕"/>
        <family val="0"/>
        <charset val="1"/>
      </rPr>
      <t xml:space="preserve">(actions)</t>
    </r>
    <r>
      <rPr>
        <sz val="10"/>
        <rFont val="Noto Sans CJK SC"/>
        <family val="2"/>
      </rPr>
      <t xml:space="preserve">으로 넘김</t>
    </r>
    <r>
      <rPr>
        <sz val="10"/>
        <rFont val="맑은 고딕"/>
        <family val="0"/>
        <charset val="1"/>
      </rPr>
      <t xml:space="preserve">(N30, N31, N42), showOrganizeDialog</t>
    </r>
    <r>
      <rPr>
        <sz val="10"/>
        <rFont val="Noto Sans CJK SC"/>
        <family val="2"/>
      </rPr>
      <t xml:space="preserve">가 폴더 계획을 입력으로 받음</t>
    </r>
    <r>
      <rPr>
        <sz val="10"/>
        <rFont val="맑은 고딕"/>
        <family val="0"/>
        <charset val="1"/>
      </rPr>
      <t xml:space="preserve">, </t>
    </r>
    <r>
      <rPr>
        <sz val="10"/>
        <rFont val="Noto Sans CJK SC"/>
        <family val="2"/>
      </rPr>
      <t xml:space="preserve">화면 칸 이름은 </t>
    </r>
    <r>
      <rPr>
        <sz val="10"/>
        <rFont val="맑은 고딕"/>
        <family val="0"/>
        <charset val="1"/>
      </rPr>
      <t xml:space="preserve">file-structure.md 12</t>
    </r>
    <r>
      <rPr>
        <sz val="10"/>
        <rFont val="Noto Sans CJK SC"/>
        <family val="2"/>
      </rPr>
      <t xml:space="preserve">번</t>
    </r>
    <r>
      <rPr>
        <sz val="10"/>
        <rFont val="맑은 고딕"/>
        <family val="0"/>
        <charset val="1"/>
      </rPr>
      <t xml:space="preserve">)</t>
    </r>
  </si>
  <si>
    <t xml:space="preserve">시트 구성</t>
  </si>
  <si>
    <t xml:space="preserve">기능 명세 / API_크롬 / API_내부 함수 / 참고_저장 항목 / 파일별 역할. 각 시트의 첫 열은 도메인(역할)이며, 둘째 열은 담당(안). 이 시트 아래쪽에 도메인별·담당별 요약이, '파일별 역할' 시트에 파일마다 하는 일이 있음</t>
  </si>
  <si>
    <t xml:space="preserve">요구사항 문장</t>
  </si>
  <si>
    <r>
      <rPr>
        <sz val="10"/>
        <rFont val="맑은 고딕"/>
        <family val="0"/>
        <charset val="1"/>
      </rPr>
      <t xml:space="preserve">4</t>
    </r>
    <r>
      <rPr>
        <sz val="10"/>
        <rFont val="Noto Sans CJK SC"/>
        <family val="2"/>
      </rPr>
      <t xml:space="preserve">주차 </t>
    </r>
    <r>
      <rPr>
        <sz val="10"/>
        <rFont val="맑은 고딕"/>
        <family val="0"/>
        <charset val="1"/>
      </rPr>
      <t xml:space="preserve">EARS </t>
    </r>
    <r>
      <rPr>
        <sz val="10"/>
        <rFont val="Noto Sans CJK SC"/>
        <family val="2"/>
      </rPr>
      <t xml:space="preserve">형식</t>
    </r>
    <r>
      <rPr>
        <sz val="10"/>
        <rFont val="맑은 고딕"/>
        <family val="0"/>
        <charset val="1"/>
      </rPr>
      <t xml:space="preserve">. WHEN(</t>
    </r>
    <r>
      <rPr>
        <sz val="10"/>
        <rFont val="Noto Sans CJK SC"/>
        <family val="2"/>
      </rPr>
      <t xml:space="preserve">사건</t>
    </r>
    <r>
      <rPr>
        <sz val="10"/>
        <rFont val="맑은 고딕"/>
        <family val="0"/>
        <charset val="1"/>
      </rPr>
      <t xml:space="preserve">)·WHILE(</t>
    </r>
    <r>
      <rPr>
        <sz val="10"/>
        <rFont val="Noto Sans CJK SC"/>
        <family val="2"/>
      </rPr>
      <t xml:space="preserve">상태</t>
    </r>
    <r>
      <rPr>
        <sz val="10"/>
        <rFont val="맑은 고딕"/>
        <family val="0"/>
        <charset val="1"/>
      </rPr>
      <t xml:space="preserve">)·IF…THEN(</t>
    </r>
    <r>
      <rPr>
        <sz val="10"/>
        <rFont val="Noto Sans CJK SC"/>
        <family val="2"/>
      </rPr>
      <t xml:space="preserve">예외</t>
    </r>
    <r>
      <rPr>
        <sz val="10"/>
        <rFont val="맑은 고딕"/>
        <family val="0"/>
        <charset val="1"/>
      </rPr>
      <t xml:space="preserve">) + THE(</t>
    </r>
    <r>
      <rPr>
        <sz val="10"/>
        <rFont val="Noto Sans CJK SC"/>
        <family val="2"/>
      </rPr>
      <t xml:space="preserve">주체</t>
    </r>
    <r>
      <rPr>
        <sz val="10"/>
        <rFont val="맑은 고딕"/>
        <family val="0"/>
        <charset val="1"/>
      </rPr>
      <t xml:space="preserve">) + SHALL(</t>
    </r>
    <r>
      <rPr>
        <sz val="10"/>
        <rFont val="Noto Sans CJK SC"/>
        <family val="2"/>
      </rPr>
      <t xml:space="preserve">동작</t>
    </r>
    <r>
      <rPr>
        <sz val="10"/>
        <rFont val="맑은 고딕"/>
        <family val="0"/>
        <charset val="1"/>
      </rPr>
      <t xml:space="preserve">·</t>
    </r>
    <r>
      <rPr>
        <sz val="10"/>
        <rFont val="Noto Sans CJK SC"/>
        <family val="2"/>
      </rPr>
      <t xml:space="preserve">결과</t>
    </r>
    <r>
      <rPr>
        <sz val="10"/>
        <rFont val="맑은 고딕"/>
        <family val="0"/>
        <charset val="1"/>
      </rPr>
      <t xml:space="preserve">). </t>
    </r>
    <r>
      <rPr>
        <sz val="10"/>
        <rFont val="Noto Sans CJK SC"/>
        <family val="2"/>
      </rPr>
      <t xml:space="preserve">정상 경로와 예외 경로를 함께 적음</t>
    </r>
  </si>
  <si>
    <r>
      <rPr>
        <b val="true"/>
        <sz val="10"/>
        <rFont val="맑은 고딕"/>
        <family val="0"/>
        <charset val="1"/>
      </rPr>
      <t xml:space="preserve">ID </t>
    </r>
    <r>
      <rPr>
        <b val="true"/>
        <sz val="10"/>
        <rFont val="Noto Sans CJK SC"/>
        <family val="2"/>
      </rPr>
      <t xml:space="preserve">규칙</t>
    </r>
  </si>
  <si>
    <t xml:space="preserve">기능 F01~F17 / 요구사항 F01-01 / 크롬 API C01~ / 내부 함수 N01~ / GitHub 이슈 #1~#19 = 파일 19개, #22~#24 = P1·P2·P3 확인 목록 (v12)</t>
  </si>
  <si>
    <t xml:space="preserve">비고의 '제안'</t>
  </si>
  <si>
    <t xml:space="preserve">계획 문서에 없어서 임시로 채운 내용. 팀에서 확정하거나 고쳐야 함 (노란색 칸)</t>
  </si>
  <si>
    <t xml:space="preserve">비고의 '확인 필요'</t>
  </si>
  <si>
    <t xml:space="preserve">팀 결정이나 개발 첫 주 실험이 있어야 정해지는 내용 (노란색 칸)</t>
  </si>
  <si>
    <t xml:space="preserve">비고의 '실행 확인'</t>
  </si>
  <si>
    <t xml:space="preserve">시험용 확장 프로그램을 Chromium 141에서 실제로 돌려 확인한 내용 (초록색 칸). '수정'·'추가'는 점검으로 고친 줄</t>
  </si>
  <si>
    <t xml:space="preserve">수정 방법</t>
  </si>
  <si>
    <t xml:space="preserve">요구사항을 바꿀 때는 '기능 명세' 시트의 G열(요구사항) 문장을 고치고, 관련된 API 시트의 '관련 기능' 열을 함께 확인</t>
  </si>
  <si>
    <t xml:space="preserve">우선순위</t>
  </si>
  <si>
    <t xml:space="preserve">P1: 11주 중간 데모에서 끝까지 동작 / P2: 15주 최종 데모까지 / P3: 시간이 남으면. 요구사항마다 '기능 명세' 시트 F열에 적음 (v9, Must·Should에서 변경)</t>
  </si>
  <si>
    <t xml:space="preserve">기능 ID</t>
  </si>
  <si>
    <t xml:space="preserve">기능명</t>
  </si>
  <si>
    <t xml:space="preserve">관련 이슈</t>
  </si>
  <si>
    <t xml:space="preserve">요구사항 수</t>
  </si>
  <si>
    <t xml:space="preserve">그중 예외 경로</t>
  </si>
  <si>
    <t xml:space="preserve">제안·확인 필요 수</t>
  </si>
  <si>
    <t xml:space="preserve">F01</t>
  </si>
  <si>
    <t xml:space="preserve">크롬 북마크 자동 동기화</t>
  </si>
  <si>
    <t xml:space="preserve">P1</t>
  </si>
  <si>
    <t xml:space="preserve">#22</t>
  </si>
  <si>
    <t xml:space="preserve">F02</t>
  </si>
  <si>
    <t xml:space="preserve">앱 형태 북마크</t>
  </si>
  <si>
    <t xml:space="preserve">F03</t>
  </si>
  <si>
    <t xml:space="preserve">앱 폴더</t>
  </si>
  <si>
    <t xml:space="preserve">P1 · P2</t>
  </si>
  <si>
    <t xml:space="preserve">#22, #23</t>
  </si>
  <si>
    <t xml:space="preserve">F04</t>
  </si>
  <si>
    <t xml:space="preserve">잊고 있던 북마크 (재발견)</t>
  </si>
  <si>
    <t xml:space="preserve">F05</t>
  </si>
  <si>
    <t xml:space="preserve">분류와 폴더 계획</t>
  </si>
  <si>
    <t xml:space="preserve">F06</t>
  </si>
  <si>
    <t xml:space="preserve">첫 정리 카드 + 자세히 보기</t>
  </si>
  <si>
    <t xml:space="preserve">F07</t>
  </si>
  <si>
    <t xml:space="preserve">정리 적용 + 직접 옮김 처리</t>
  </si>
  <si>
    <t xml:space="preserve">F08</t>
  </si>
  <si>
    <t xml:space="preserve">고정됨 (독)</t>
  </si>
  <si>
    <t xml:space="preserve">P2</t>
  </si>
  <si>
    <t xml:space="preserve">#23</t>
  </si>
  <si>
    <t xml:space="preserve">F09</t>
  </si>
  <si>
    <t xml:space="preserve">폴더를 못 만들 때 고정 제안</t>
  </si>
  <si>
    <t xml:space="preserve">F10</t>
  </si>
  <si>
    <t xml:space="preserve">새 북마크 정리 ([정리하기])</t>
  </si>
  <si>
    <t xml:space="preserve">F11</t>
  </si>
  <si>
    <t xml:space="preserve">웹 검색창 (크롬 검색 유지)</t>
  </si>
  <si>
    <t xml:space="preserve">F12</t>
  </si>
  <si>
    <t xml:space="preserve">새 탭 첫 화면 배치 + 반응형</t>
  </si>
  <si>
    <t xml:space="preserve">F13</t>
  </si>
  <si>
    <t xml:space="preserve">정리 되돌리기 + 정리 기록 화면</t>
  </si>
  <si>
    <t xml:space="preserve">F14</t>
  </si>
  <si>
    <t xml:space="preserve">북마크 검색</t>
  </si>
  <si>
    <t xml:space="preserve">F15</t>
  </si>
  <si>
    <t xml:space="preserve">우클릭 폴더 이동</t>
  </si>
  <si>
    <t xml:space="preserve">F16</t>
  </si>
  <si>
    <t xml:space="preserve">세부 폴더 제안</t>
  </si>
  <si>
    <t xml:space="preserve">P3</t>
  </si>
  <si>
    <t xml:space="preserve">#24</t>
  </si>
  <si>
    <t xml:space="preserve">F17</t>
  </si>
  <si>
    <t xml:space="preserve">드래그 이동</t>
  </si>
  <si>
    <t xml:space="preserve">합계</t>
  </si>
  <si>
    <t xml:space="preserve">도메인별 요약 (상세 도메인 21개)</t>
  </si>
  <si>
    <t xml:space="preserve">도메인</t>
  </si>
  <si>
    <t xml:space="preserve">하는 일</t>
  </si>
  <si>
    <t xml:space="preserve">담당(안)</t>
  </si>
  <si>
    <t xml:space="preserve">관련 파일</t>
  </si>
  <si>
    <t xml:space="preserve">내부 함수 수</t>
  </si>
  <si>
    <t xml:space="preserve">크롬 API 수</t>
  </si>
  <si>
    <t xml:space="preserve">확장 프로그램 설정</t>
  </si>
  <si>
    <t xml:space="preserve">권한, 새 탭 바꾸기, 서비스 워커 등록</t>
  </si>
  <si>
    <t xml:space="preserve">팀원 A</t>
  </si>
  <si>
    <t xml:space="preserve">manifest.json</t>
  </si>
  <si>
    <t xml:space="preserve">북마크 동기화</t>
  </si>
  <si>
    <t xml:space="preserve">크롬 북마크를 읽고, 바뀌면 화면에 자동 반영</t>
  </si>
  <si>
    <t xml:space="preserve">bookmarks.js</t>
  </si>
  <si>
    <t xml:space="preserve">저장 항목</t>
  </si>
  <si>
    <t xml:space="preserve">우리가 따로 기억하는 정보(chrome.storage.local)를 읽고 쓰기</t>
  </si>
  <si>
    <t xml:space="preserve">background.js, store.js</t>
  </si>
  <si>
    <t xml:space="preserve">앱 표시·열기</t>
  </si>
  <si>
    <t xml:space="preserve">북마크를 앱 아이콘으로 보여 주고, 눌렀을 때 열기</t>
  </si>
  <si>
    <t xml:space="preserve">팀원 D</t>
  </si>
  <si>
    <t xml:space="preserve">bookmarks.js, ui.js</t>
  </si>
  <si>
    <t xml:space="preserve">폴더 열기·만들기·이름 바꾸기·삭제</t>
  </si>
  <si>
    <t xml:space="preserve">팀원 C</t>
  </si>
  <si>
    <t xml:space="preserve">bookmarks.js, view/folders.js</t>
  </si>
  <si>
    <t xml:space="preserve">분류 규칙</t>
  </si>
  <si>
    <t xml:space="preserve">북마크를 분류표·주소 끝·제목 키워드로 카테고리에 넣기</t>
  </si>
  <si>
    <t xml:space="preserve">팀원 B</t>
  </si>
  <si>
    <t xml:space="preserve">classify.js</t>
  </si>
  <si>
    <t xml:space="preserve">폴더 계획</t>
  </si>
  <si>
    <t xml:space="preserve">정리 대상을 고르고, 만들 폴더와 넣을 북마크를 정하기</t>
  </si>
  <si>
    <t xml:space="preserve">plan.js</t>
  </si>
  <si>
    <t xml:space="preserve">정리 카드</t>
  </si>
  <si>
    <t xml:space="preserve">첫 정리 제안 카드와 자세히 보기</t>
  </si>
  <si>
    <t xml:space="preserve">store.js, view/cards.js</t>
  </si>
  <si>
    <t xml:space="preserve">정리 적용</t>
  </si>
  <si>
    <t xml:space="preserve">계획대로 폴더를 만들고 북마크를 실제로 옮기기</t>
  </si>
  <si>
    <t xml:space="preserve">bookmarks.js, organize.js</t>
  </si>
  <si>
    <t xml:space="preserve">직접 옮김 감지</t>
  </si>
  <si>
    <t xml:space="preserve">사용자가 직접 옮긴 것과 우리 정리가 옮긴 것을 구별해 기록</t>
  </si>
  <si>
    <t xml:space="preserve">되돌리기·정리 기록</t>
  </si>
  <si>
    <t xml:space="preserve">정리 내역을 보여 주고 원래 위치로 되돌리기</t>
  </si>
  <si>
    <t xml:space="preserve">organize.js, store.js, view/history.js</t>
  </si>
  <si>
    <t xml:space="preserve">새 북마크 정리</t>
  </si>
  <si>
    <t xml:space="preserve">새로 저장된 북마크를 기록하고 추천 폴더로 정리</t>
  </si>
  <si>
    <t xml:space="preserve">background.js, classify.js, plan.js, store.js</t>
  </si>
  <si>
    <t xml:space="preserve">재발견</t>
  </si>
  <si>
    <t xml:space="preserve">오래 안 연 북마크를 골라 '잊고 있던 북마크'로 보여 주기</t>
  </si>
  <si>
    <t xml:space="preserve">forgotten.js, store.js, view/forgottenFolder.js</t>
  </si>
  <si>
    <t xml:space="preserve">고정(독)</t>
  </si>
  <si>
    <t xml:space="preserve">자주 쓰는 북마크를 화면 아래의 고정됨에 고정</t>
  </si>
  <si>
    <t xml:space="preserve">store.js</t>
  </si>
  <si>
    <t xml:space="preserve">고정 제안</t>
  </si>
  <si>
    <t xml:space="preserve">폴더를 못 만들 때 고정할 북마크 5개 고르기</t>
  </si>
  <si>
    <t xml:space="preserve">plan.js, view/cards.js</t>
  </si>
  <si>
    <t xml:space="preserve">웹 검색</t>
  </si>
  <si>
    <t xml:space="preserve">새 탭의 검색창에서 기본 검색엔진으로 검색</t>
  </si>
  <si>
    <t xml:space="preserve">search.js</t>
  </si>
  <si>
    <t xml:space="preserve">제목·주소로 북마크 찾기</t>
  </si>
  <si>
    <t xml:space="preserve">화면 배치</t>
  </si>
  <si>
    <t xml:space="preserve">첫 화면의 구역 순서, 팝업, 창 너비 대응</t>
  </si>
  <si>
    <t xml:space="preserve">render.js, ui.js, newtab.html, newtab.css</t>
  </si>
  <si>
    <t xml:space="preserve">우클릭 이동</t>
  </si>
  <si>
    <t xml:space="preserve">우클릭 메뉴와 폴더로 이동</t>
  </si>
  <si>
    <t xml:space="preserve">view/folders.js</t>
  </si>
  <si>
    <t xml:space="preserve">세부 폴더</t>
  </si>
  <si>
    <t xml:space="preserve">큰 폴더 안에서 주제 단어로 세부 폴더 제안</t>
  </si>
  <si>
    <t xml:space="preserve">topic.js</t>
  </si>
  <si>
    <t xml:space="preserve">끌어서 폴더에 넣기·순서 바꾸기</t>
  </si>
  <si>
    <t xml:space="preserve">dnd.js</t>
  </si>
  <si>
    <t xml:space="preserve">담당(안)별 요약</t>
  </si>
  <si>
    <t xml:space="preserve">맡는 도메인</t>
  </si>
  <si>
    <t xml:space="preserve">맡는 파일</t>
  </si>
  <si>
    <t xml:space="preserve">확장 프로그램 설정, 북마크 동기화, 저장 항목, 정리 적용, 되돌리기·정리 기록, 고정(독)</t>
  </si>
  <si>
    <t xml:space="preserve">manifest.json, bookmarks.js, store.js, organize.js, view/history.js</t>
  </si>
  <si>
    <t xml:space="preserve">분류 규칙, 직접 옮김 감지, 새 북마크 정리, 재발견</t>
  </si>
  <si>
    <t xml:space="preserve">background.js, classify.js, forgotten.js, view/forgottenFolder.js, data/categories.json</t>
  </si>
  <si>
    <t xml:space="preserve">앱 폴더, 폴더 계획, 고정 제안, 우클릭 이동, 세부 폴더</t>
  </si>
  <si>
    <t xml:space="preserve">plan.js, topic.js, view/folders.js</t>
  </si>
  <si>
    <t xml:space="preserve">앱 표시·열기, 정리 카드, 웹 검색, 북마크 검색, 화면 배치, 드래그 이동</t>
  </si>
  <si>
    <t xml:space="preserve">newtab.html, newtab.css, render.js, ui.js, view/cards.js, search.js, dnd.js</t>
  </si>
  <si>
    <t xml:space="preserve">도메인 열 쓰는 법</t>
  </si>
  <si>
    <t xml:space="preserve">각 시트의 첫 열 '도메인'은 그 줄이 어떤 일에 속하는지(정리 적용, 되돌리기 등)를 나타낸다. 둘째 열 '담당(안)'은 그 줄을 누가 맡는지에 대한 제안이며 실제 이름으로 바꿔 쓴다. 기능 명세의 담당은 도메인으로, API 시트의 담당은 파일로 정했다(한 파일은 한 사람). 그래서 같은 도메인이라도 함수가 다른 사람의 파일에 있으면 담당이 다를 수 있고, 그 경우 기능 명세의 '협업 담당'에 적혀 있다.</t>
  </si>
  <si>
    <t xml:space="preserve">협업 담당</t>
  </si>
  <si>
    <t xml:space="preserve">요구사항 ID</t>
  </si>
  <si>
    <t xml:space="preserve">유형</t>
  </si>
  <si>
    <r>
      <rPr>
        <b val="true"/>
        <sz val="10"/>
        <color rgb="FFFFFFFF"/>
        <rFont val="맑은 고딕"/>
        <family val="0"/>
        <charset val="1"/>
      </rPr>
      <t xml:space="preserve">EARS </t>
    </r>
    <r>
      <rPr>
        <b val="true"/>
        <sz val="10"/>
        <color rgb="FFFFFFFF"/>
        <rFont val="Noto Sans CJK SC"/>
        <family val="2"/>
      </rPr>
      <t xml:space="preserve">패턴</t>
    </r>
  </si>
  <si>
    <t xml:space="preserve">요구사항 (EARS)</t>
  </si>
  <si>
    <t xml:space="preserve">화면</t>
  </si>
  <si>
    <t xml:space="preserve">근거 (계획 문서 절)</t>
  </si>
  <si>
    <t xml:space="preserve">비고</t>
  </si>
  <si>
    <t xml:space="preserve">F01-01</t>
  </si>
  <si>
    <t xml:space="preserve">정상</t>
  </si>
  <si>
    <t xml:space="preserve">Event-driven</t>
  </si>
  <si>
    <r>
      <rPr>
        <sz val="10"/>
        <rFont val="맑은 고딕"/>
        <family val="0"/>
        <charset val="1"/>
      </rPr>
      <t xml:space="preserve">WHEN </t>
    </r>
    <r>
      <rPr>
        <sz val="10"/>
        <rFont val="Noto Sans CJK SC"/>
        <family val="2"/>
      </rPr>
      <t xml:space="preserve">사용자가 새 탭을 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크롬 북마크 전체를 읽어 화면에 표시하고</t>
    </r>
    <r>
      <rPr>
        <sz val="10"/>
        <rFont val="맑은 고딕"/>
        <family val="0"/>
        <charset val="1"/>
      </rPr>
      <t xml:space="preserve">, </t>
    </r>
    <r>
      <rPr>
        <sz val="10"/>
        <rFont val="Noto Sans CJK SC"/>
        <family val="2"/>
      </rPr>
      <t xml:space="preserve">표시한 북마크 개수는 크롬 북마크 관리자의 개수와 같다</t>
    </r>
    <r>
      <rPr>
        <sz val="10"/>
        <rFont val="맑은 고딕"/>
        <family val="0"/>
        <charset val="1"/>
      </rPr>
      <t xml:space="preserve">.</t>
    </r>
  </si>
  <si>
    <t xml:space="preserve">새 탭 메인</t>
  </si>
  <si>
    <t xml:space="preserve">2-1, 3-1</t>
  </si>
  <si>
    <t xml:space="preserve">F01-02</t>
  </si>
  <si>
    <r>
      <rPr>
        <sz val="10"/>
        <rFont val="맑은 고딕"/>
        <family val="0"/>
        <charset val="1"/>
      </rPr>
      <t xml:space="preserve">WHEN </t>
    </r>
    <r>
      <rPr>
        <sz val="10"/>
        <rFont val="Noto Sans CJK SC"/>
        <family val="2"/>
      </rPr>
      <t xml:space="preserve">크롬에서 북마크가 추가</t>
    </r>
    <r>
      <rPr>
        <sz val="10"/>
        <rFont val="맑은 고딕"/>
        <family val="0"/>
        <charset val="1"/>
      </rPr>
      <t xml:space="preserve">·</t>
    </r>
    <r>
      <rPr>
        <sz val="10"/>
        <rFont val="Noto Sans CJK SC"/>
        <family val="2"/>
      </rPr>
      <t xml:space="preserve">수정</t>
    </r>
    <r>
      <rPr>
        <sz val="10"/>
        <rFont val="맑은 고딕"/>
        <family val="0"/>
        <charset val="1"/>
      </rPr>
      <t xml:space="preserve">·</t>
    </r>
    <r>
      <rPr>
        <sz val="10"/>
        <rFont val="Noto Sans CJK SC"/>
        <family val="2"/>
      </rPr>
      <t xml:space="preserve">삭제</t>
    </r>
    <r>
      <rPr>
        <sz val="10"/>
        <rFont val="맑은 고딕"/>
        <family val="0"/>
        <charset val="1"/>
      </rPr>
      <t xml:space="preserve">·</t>
    </r>
    <r>
      <rPr>
        <sz val="10"/>
        <rFont val="Noto Sans CJK SC"/>
        <family val="2"/>
      </rPr>
      <t xml:space="preserve">이동되면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사용자가 새로고침하지 않아도 그 변경을 화면에 반영한다</t>
    </r>
    <r>
      <rPr>
        <sz val="10"/>
        <rFont val="맑은 고딕"/>
        <family val="0"/>
        <charset val="1"/>
      </rPr>
      <t xml:space="preserve">.</t>
    </r>
  </si>
  <si>
    <t xml:space="preserve">F01-03</t>
  </si>
  <si>
    <t xml:space="preserve">Ubiquitous</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</si>
  <si>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북마크의 제목과 주소를 확장 프로그램 밖</t>
    </r>
    <r>
      <rPr>
        <sz val="10"/>
        <rFont val="맑은 고딕"/>
        <family val="0"/>
        <charset val="1"/>
      </rPr>
      <t xml:space="preserve">(</t>
    </r>
    <r>
      <rPr>
        <sz val="10"/>
        <rFont val="Noto Sans CJK SC"/>
        <family val="2"/>
      </rPr>
      <t xml:space="preserve">서버</t>
    </r>
    <r>
      <rPr>
        <sz val="10"/>
        <rFont val="맑은 고딕"/>
        <family val="0"/>
        <charset val="1"/>
      </rPr>
      <t xml:space="preserve">, </t>
    </r>
    <r>
      <rPr>
        <sz val="10"/>
        <rFont val="Noto Sans CJK SC"/>
        <family val="2"/>
      </rPr>
      <t xml:space="preserve">외부 </t>
    </r>
    <r>
      <rPr>
        <sz val="10"/>
        <rFont val="맑은 고딕"/>
        <family val="0"/>
        <charset val="1"/>
      </rPr>
      <t xml:space="preserve">API)</t>
    </r>
    <r>
      <rPr>
        <sz val="10"/>
        <rFont val="Noto Sans CJK SC"/>
        <family val="2"/>
      </rPr>
      <t xml:space="preserve">으로 전송하지 않는다</t>
    </r>
    <r>
      <rPr>
        <sz val="10"/>
        <rFont val="맑은 고딕"/>
        <family val="0"/>
        <charset val="1"/>
      </rPr>
      <t xml:space="preserve">.</t>
    </r>
  </si>
  <si>
    <t xml:space="preserve">화면 없음</t>
  </si>
  <si>
    <t xml:space="preserve">F01-04</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</si>
  <si>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북마크바</t>
    </r>
    <r>
      <rPr>
        <sz val="10"/>
        <rFont val="맑은 고딕"/>
        <family val="0"/>
        <charset val="1"/>
      </rPr>
      <t xml:space="preserve">·</t>
    </r>
    <r>
      <rPr>
        <sz val="10"/>
        <rFont val="Noto Sans CJK SC"/>
        <family val="2"/>
      </rPr>
      <t xml:space="preserve">기타 북마크</t>
    </r>
    <r>
      <rPr>
        <sz val="10"/>
        <rFont val="맑은 고딕"/>
        <family val="0"/>
        <charset val="1"/>
      </rPr>
      <t xml:space="preserve">·</t>
    </r>
    <r>
      <rPr>
        <sz val="10"/>
        <rFont val="Noto Sans CJK SC"/>
        <family val="2"/>
      </rPr>
      <t xml:space="preserve">모바일 북마크를 폴더 </t>
    </r>
    <r>
      <rPr>
        <sz val="10"/>
        <rFont val="맑은 고딕"/>
        <family val="0"/>
        <charset val="1"/>
      </rPr>
      <t xml:space="preserve">ID</t>
    </r>
    <r>
      <rPr>
        <sz val="10"/>
        <rFont val="Noto Sans CJK SC"/>
        <family val="2"/>
      </rPr>
      <t xml:space="preserve">가 아닌 </t>
    </r>
    <r>
      <rPr>
        <sz val="10"/>
        <rFont val="맑은 고딕"/>
        <family val="0"/>
        <charset val="1"/>
      </rPr>
      <t xml:space="preserve">folderType </t>
    </r>
    <r>
      <rPr>
        <sz val="10"/>
        <rFont val="Noto Sans CJK SC"/>
        <family val="2"/>
      </rPr>
      <t xml:space="preserve">값으로 구별한다</t>
    </r>
    <r>
      <rPr>
        <sz val="10"/>
        <rFont val="맑은 고딕"/>
        <family val="0"/>
        <charset val="1"/>
      </rPr>
      <t xml:space="preserve">.</t>
    </r>
  </si>
  <si>
    <t xml:space="preserve">F01-05</t>
  </si>
  <si>
    <t xml:space="preserve">예외</t>
  </si>
  <si>
    <t xml:space="preserve">Unwanted</t>
  </si>
  <si>
    <r>
      <rPr>
        <sz val="10"/>
        <rFont val="맑은 고딕"/>
        <family val="0"/>
        <charset val="1"/>
      </rPr>
      <t xml:space="preserve">IF </t>
    </r>
    <r>
      <rPr>
        <sz val="10"/>
        <rFont val="Noto Sans CJK SC"/>
        <family val="2"/>
      </rPr>
      <t xml:space="preserve">크롬에 북마크가 하나도 없으면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아직 북마크가 없어요</t>
    </r>
    <r>
      <rPr>
        <sz val="10"/>
        <rFont val="맑은 고딕"/>
        <family val="0"/>
        <charset val="1"/>
      </rPr>
      <t xml:space="preserve">. </t>
    </r>
    <r>
      <rPr>
        <sz val="10"/>
        <rFont val="Noto Sans CJK SC"/>
        <family val="2"/>
      </rPr>
      <t xml:space="preserve">주소창의 별 버튼으로 저장해 보세요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</si>
  <si>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제안: 문구는 계획 문서에 없음</t>
  </si>
  <si>
    <t xml:space="preserve">F01-06</t>
  </si>
  <si>
    <r>
      <rPr>
        <sz val="10"/>
        <rFont val="맑은 고딕"/>
        <family val="0"/>
        <charset val="1"/>
      </rPr>
      <t xml:space="preserve">IF </t>
    </r>
    <r>
      <rPr>
        <sz val="10"/>
        <rFont val="Noto Sans CJK SC"/>
        <family val="2"/>
      </rPr>
      <t xml:space="preserve">북마크가 크롬에서 삭제되면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저장 항목에서 그 북마크 </t>
    </r>
    <r>
      <rPr>
        <sz val="10"/>
        <rFont val="맑은 고딕"/>
        <family val="0"/>
        <charset val="1"/>
      </rPr>
      <t xml:space="preserve">ID</t>
    </r>
    <r>
      <rPr>
        <sz val="10"/>
        <rFont val="Noto Sans CJK SC"/>
        <family val="2"/>
      </rPr>
      <t xml:space="preserve">를 지운다</t>
    </r>
    <r>
      <rPr>
        <sz val="10"/>
        <rFont val="맑은 고딕"/>
        <family val="0"/>
        <charset val="1"/>
      </rPr>
      <t xml:space="preserve">. </t>
    </r>
    <r>
      <rPr>
        <sz val="10"/>
        <rFont val="Noto Sans CJK SC"/>
        <family val="2"/>
      </rPr>
      <t xml:space="preserve">서비스 워커는 </t>
    </r>
    <r>
      <rPr>
        <sz val="10"/>
        <rFont val="맑은 고딕"/>
        <family val="0"/>
        <charset val="1"/>
      </rPr>
      <t xml:space="preserve">manualMoves·newBookmarks</t>
    </r>
    <r>
      <rPr>
        <sz val="10"/>
        <rFont val="Noto Sans CJK SC"/>
        <family val="2"/>
      </rPr>
      <t xml:space="preserve">에서 바로 지우고</t>
    </r>
    <r>
      <rPr>
        <sz val="10"/>
        <rFont val="맑은 고딕"/>
        <family val="0"/>
        <charset val="1"/>
      </rPr>
      <t xml:space="preserve">, </t>
    </r>
    <r>
      <rPr>
        <sz val="10"/>
        <rFont val="Noto Sans CJK SC"/>
        <family val="2"/>
      </rPr>
      <t xml:space="preserve">새 탭은 열릴 때 </t>
    </r>
    <r>
      <rPr>
        <sz val="10"/>
        <rFont val="맑은 고딕"/>
        <family val="0"/>
        <charset val="1"/>
      </rPr>
      <t xml:space="preserve">pinned·lastOpenedByUs·dismissed·handledNew</t>
    </r>
    <r>
      <rPr>
        <sz val="10"/>
        <rFont val="Noto Sans CJK SC"/>
        <family val="2"/>
      </rPr>
      <t xml:space="preserve">에서 지운다</t>
    </r>
    <r>
      <rPr>
        <sz val="10"/>
        <rFont val="맑은 고딕"/>
        <family val="0"/>
        <charset val="1"/>
      </rPr>
      <t xml:space="preserve">.</t>
    </r>
  </si>
  <si>
    <t xml:space="preserve">제안: 한 저장 항목은 한쪽만 쓴다는 규칙에 맞춘 정리 방식</t>
  </si>
  <si>
    <t xml:space="preserve">F01-07</t>
  </si>
  <si>
    <r>
      <rPr>
        <sz val="10"/>
        <rFont val="맑은 고딕"/>
        <family val="0"/>
        <charset val="1"/>
      </rPr>
      <t xml:space="preserve">IF </t>
    </r>
    <r>
      <rPr>
        <sz val="10"/>
        <rFont val="Noto Sans CJK SC"/>
        <family val="2"/>
      </rPr>
      <t xml:space="preserve">크롬이 북마크 가져오기</t>
    </r>
    <r>
      <rPr>
        <sz val="10"/>
        <rFont val="맑은 고딕"/>
        <family val="0"/>
        <charset val="1"/>
      </rPr>
      <t xml:space="preserve">(import)</t>
    </r>
    <r>
      <rPr>
        <sz val="10"/>
        <rFont val="Noto Sans CJK SC"/>
        <family val="2"/>
      </rPr>
      <t xml:space="preserve">를 진행 중이면 </t>
    </r>
    <r>
      <rPr>
        <sz val="10"/>
        <rFont val="맑은 고딕"/>
        <family val="0"/>
        <charset val="1"/>
      </rPr>
      <t xml:space="preserve">THEN THE </t>
    </r>
    <r>
      <rPr>
        <sz val="10"/>
        <rFont val="Noto Sans CJK SC"/>
        <family val="2"/>
      </rPr>
      <t xml:space="preserve">서비스 워커는 </t>
    </r>
    <r>
      <rPr>
        <sz val="10"/>
        <rFont val="맑은 고딕"/>
        <family val="0"/>
        <charset val="1"/>
      </rPr>
      <t xml:space="preserve">SHALL </t>
    </r>
    <r>
      <rPr>
        <sz val="10"/>
        <rFont val="Noto Sans CJK SC"/>
        <family val="2"/>
      </rPr>
      <t xml:space="preserve">가져오기가 끝날 때까지 새 북마크 기록을 멈추고</t>
    </r>
    <r>
      <rPr>
        <sz val="10"/>
        <rFont val="맑은 고딕"/>
        <family val="0"/>
        <charset val="1"/>
      </rPr>
      <t xml:space="preserve">, </t>
    </r>
    <r>
      <rPr>
        <sz val="10"/>
        <rFont val="Noto Sans CJK SC"/>
        <family val="2"/>
      </rPr>
      <t xml:space="preserve">끝난 뒤 한 번만 다시 읽는다</t>
    </r>
    <r>
      <rPr>
        <sz val="10"/>
        <rFont val="맑은 고딕"/>
        <family val="0"/>
        <charset val="1"/>
      </rPr>
      <t xml:space="preserve">.</t>
    </r>
  </si>
  <si>
    <t xml:space="preserve">제안: 크롬 문서가 권장하는 처리</t>
  </si>
  <si>
    <t xml:space="preserve">F02-01</t>
  </si>
  <si>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북마크 하나를 사이트 아이콘</t>
    </r>
    <r>
      <rPr>
        <sz val="10"/>
        <rFont val="맑은 고딕"/>
        <family val="0"/>
        <charset val="1"/>
      </rPr>
      <t xml:space="preserve">(</t>
    </r>
    <r>
      <rPr>
        <sz val="10"/>
        <rFont val="Noto Sans CJK SC"/>
        <family val="2"/>
      </rPr>
      <t xml:space="preserve">색 타일 위의 파비콘</t>
    </r>
    <r>
      <rPr>
        <sz val="10"/>
        <rFont val="맑은 고딕"/>
        <family val="0"/>
        <charset val="1"/>
      </rPr>
      <t xml:space="preserve">)</t>
    </r>
    <r>
      <rPr>
        <sz val="10"/>
        <rFont val="Noto Sans CJK SC"/>
        <family val="2"/>
      </rPr>
      <t xml:space="preserve">과 제목이 있는 앱 하나로 표시한다</t>
    </r>
    <r>
      <rPr>
        <sz val="10"/>
        <rFont val="맑은 고딕"/>
        <family val="0"/>
        <charset val="1"/>
      </rPr>
      <t xml:space="preserve">.</t>
    </r>
  </si>
  <si>
    <t xml:space="preserve">2-2, 3-2</t>
  </si>
  <si>
    <t xml:space="preserve">추가(v11): 앱 아이콘은 모든 화면에서 ui.js의 appIcon으로 그린다</t>
  </si>
  <si>
    <t xml:space="preserve">F02-02</t>
  </si>
  <si>
    <r>
      <rPr>
        <sz val="10"/>
        <rFont val="맑은 고딕"/>
        <family val="0"/>
        <charset val="1"/>
      </rPr>
      <t xml:space="preserve">WHEN </t>
    </r>
    <r>
      <rPr>
        <sz val="10"/>
        <rFont val="Noto Sans CJK SC"/>
        <family val="2"/>
      </rPr>
      <t xml:space="preserve">사용자가 앱을 클릭하면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연 시각을 </t>
    </r>
    <r>
      <rPr>
        <sz val="10"/>
        <rFont val="맑은 고딕"/>
        <family val="0"/>
        <charset val="1"/>
      </rPr>
      <t xml:space="preserve">lastOpenedByUs</t>
    </r>
    <r>
      <rPr>
        <sz val="10"/>
        <rFont val="Noto Sans CJK SC"/>
        <family val="2"/>
      </rPr>
      <t xml:space="preserve">에 기록한 뒤 현재 탭에서 그 북마크의 주소를 연다</t>
    </r>
    <r>
      <rPr>
        <sz val="10"/>
        <rFont val="맑은 고딕"/>
        <family val="0"/>
        <charset val="1"/>
      </rPr>
      <t xml:space="preserve">.</t>
    </r>
  </si>
  <si>
    <t xml:space="preserve">제안: 클릭은 현재 탭, 우클릭 메뉴는 새 탭. 실행 확인(v3): 기록을 기다리지 않고 바로 이동해도 기록은 남았음. 순서를 지키는 것은 안전을 위한 것</t>
  </si>
  <si>
    <t xml:space="preserve">F02-03</t>
  </si>
  <si>
    <r>
      <rPr>
        <sz val="10"/>
        <rFont val="맑은 고딕"/>
        <family val="0"/>
        <charset val="1"/>
      </rPr>
      <t xml:space="preserve">IF </t>
    </r>
    <r>
      <rPr>
        <sz val="10"/>
        <rFont val="Noto Sans CJK SC"/>
        <family val="2"/>
      </rPr>
      <t xml:space="preserve">사이트의 파비콘이 없으면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제목의 첫 글자를 아이콘으로 표시한다</t>
    </r>
    <r>
      <rPr>
        <sz val="10"/>
        <rFont val="맑은 고딕"/>
        <family val="0"/>
        <charset val="1"/>
      </rPr>
      <t xml:space="preserve">.</t>
    </r>
  </si>
  <si>
    <t xml:space="preserve">실행 확인(v3): 파비콘이 없는 주소는 모두 똑같은 기본 그림(같은 바이트)이 돌아옴. 방문한 적 없는 주소의 결과를 기준으로 삼아 비교하면 판별됨. 파비콘은 사이트가 아니라 페이지 주소 단위로 저장돼 있으므로, 없으면 사이트 첫 페이지 주소로 한 번 더 찾고 그래도 없으면 첫 글자</t>
  </si>
  <si>
    <t xml:space="preserve">F02-04</t>
  </si>
  <si>
    <r>
      <rPr>
        <sz val="10"/>
        <rFont val="맑은 고딕"/>
        <family val="0"/>
        <charset val="1"/>
      </rPr>
      <t xml:space="preserve">IF </t>
    </r>
    <r>
      <rPr>
        <sz val="10"/>
        <rFont val="Noto Sans CJK SC"/>
        <family val="2"/>
      </rPr>
      <t xml:space="preserve">북마크 주소가 </t>
    </r>
    <r>
      <rPr>
        <sz val="10"/>
        <rFont val="맑은 고딕"/>
        <family val="0"/>
        <charset val="1"/>
      </rPr>
      <t xml:space="preserve">chrome:// </t>
    </r>
    <r>
      <rPr>
        <sz val="10"/>
        <rFont val="Noto Sans CJK SC"/>
        <family val="2"/>
      </rPr>
      <t xml:space="preserve">또는 </t>
    </r>
    <r>
      <rPr>
        <sz val="10"/>
        <rFont val="맑은 고딕"/>
        <family val="0"/>
        <charset val="1"/>
      </rPr>
      <t xml:space="preserve">file://</t>
    </r>
    <r>
      <rPr>
        <sz val="10"/>
        <rFont val="Noto Sans CJK SC"/>
        <family val="2"/>
      </rPr>
      <t xml:space="preserve">로 시작하면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일반 링크 대신 </t>
    </r>
    <r>
      <rPr>
        <sz val="10"/>
        <rFont val="맑은 고딕"/>
        <family val="0"/>
        <charset val="1"/>
      </rPr>
      <t xml:space="preserve">chrome.tabs API</t>
    </r>
    <r>
      <rPr>
        <sz val="10"/>
        <rFont val="Noto Sans CJK SC"/>
        <family val="2"/>
      </rPr>
      <t xml:space="preserve">로 그 주소를 연다</t>
    </r>
    <r>
      <rPr>
        <sz val="10"/>
        <rFont val="맑은 고딕"/>
        <family val="0"/>
        <charset val="1"/>
      </rPr>
      <t xml:space="preserve">.</t>
    </r>
  </si>
  <si>
    <t xml:space="preserve">F02-05</t>
  </si>
  <si>
    <r>
      <rPr>
        <sz val="10"/>
        <rFont val="맑은 고딕"/>
        <family val="0"/>
        <charset val="1"/>
      </rPr>
      <t xml:space="preserve">IF </t>
    </r>
    <r>
      <rPr>
        <sz val="10"/>
        <rFont val="Noto Sans CJK SC"/>
        <family val="2"/>
      </rPr>
      <t xml:space="preserve">북마크 주소가 </t>
    </r>
    <r>
      <rPr>
        <sz val="10"/>
        <rFont val="맑은 고딕"/>
        <family val="0"/>
        <charset val="1"/>
      </rPr>
      <t xml:space="preserve">javascript:</t>
    </r>
    <r>
      <rPr>
        <sz val="10"/>
        <rFont val="Noto Sans CJK SC"/>
        <family val="2"/>
      </rPr>
      <t xml:space="preserve">로 시작하면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실행하지 않고 </t>
    </r>
    <r>
      <rPr>
        <sz val="10"/>
        <rFont val="맑은 고딕"/>
        <family val="0"/>
        <charset val="1"/>
      </rPr>
      <t xml:space="preserve">"</t>
    </r>
    <r>
      <rPr>
        <sz val="10"/>
        <rFont val="Noto Sans CJK SC"/>
        <family val="2"/>
      </rPr>
      <t xml:space="preserve">이 북마크는 새 탭에서 실행할 수 없어요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</si>
  <si>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제안: 북마클릿은 확장 프로그램 페이지에서 실행 불가</t>
  </si>
  <si>
    <t xml:space="preserve">F03-01</t>
  </si>
  <si>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크롬 북마크 폴더</t>
    </r>
    <r>
      <rPr>
        <sz val="10"/>
        <rFont val="맑은 고딕"/>
        <family val="0"/>
        <charset val="1"/>
      </rPr>
      <t xml:space="preserve">(</t>
    </r>
    <r>
      <rPr>
        <sz val="10"/>
        <rFont val="Noto Sans CJK SC"/>
        <family val="2"/>
      </rPr>
      <t xml:space="preserve">사용자가 원래 만든 폴더 포함</t>
    </r>
    <r>
      <rPr>
        <sz val="10"/>
        <rFont val="맑은 고딕"/>
        <family val="0"/>
        <charset val="1"/>
      </rPr>
      <t xml:space="preserve">)</t>
    </r>
    <r>
      <rPr>
        <sz val="10"/>
        <rFont val="Noto Sans CJK SC"/>
        <family val="2"/>
      </rPr>
      <t xml:space="preserve">를 안에 든 앱의 미리보기 칸</t>
    </r>
    <r>
      <rPr>
        <sz val="10"/>
        <rFont val="맑은 고딕"/>
        <family val="0"/>
        <charset val="1"/>
      </rPr>
      <t xml:space="preserve">·</t>
    </r>
    <r>
      <rPr>
        <sz val="10"/>
        <rFont val="Noto Sans CJK SC"/>
        <family val="2"/>
      </rPr>
      <t xml:space="preserve">이름</t>
    </r>
    <r>
      <rPr>
        <sz val="10"/>
        <rFont val="맑은 고딕"/>
        <family val="0"/>
        <charset val="1"/>
      </rPr>
      <t xml:space="preserve">·</t>
    </r>
    <r>
      <rPr>
        <sz val="10"/>
        <rFont val="Noto Sans CJK SC"/>
        <family val="2"/>
      </rPr>
      <t xml:space="preserve">개수가 있는 앱 폴더로 표시한다</t>
    </r>
    <r>
      <rPr>
        <sz val="10"/>
        <rFont val="맑은 고딕"/>
        <family val="0"/>
        <charset val="1"/>
      </rPr>
      <t xml:space="preserve">.</t>
    </r>
  </si>
  <si>
    <t xml:space="preserve">F03-02</t>
  </si>
  <si>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북마크바</t>
    </r>
    <r>
      <rPr>
        <sz val="10"/>
        <rFont val="맑은 고딕"/>
        <family val="0"/>
        <charset val="1"/>
      </rPr>
      <t xml:space="preserve">·</t>
    </r>
    <r>
      <rPr>
        <sz val="10"/>
        <rFont val="Noto Sans CJK SC"/>
        <family val="2"/>
      </rPr>
      <t xml:space="preserve">기타 북마크</t>
    </r>
    <r>
      <rPr>
        <sz val="10"/>
        <rFont val="맑은 고딕"/>
        <family val="0"/>
        <charset val="1"/>
      </rPr>
      <t xml:space="preserve">·</t>
    </r>
    <r>
      <rPr>
        <sz val="10"/>
        <rFont val="Noto Sans CJK SC"/>
        <family val="2"/>
      </rPr>
      <t xml:space="preserve">모바일 북마크 자체는 앱 폴더로 표시하지 않고</t>
    </r>
    <r>
      <rPr>
        <sz val="10"/>
        <rFont val="맑은 고딕"/>
        <family val="0"/>
        <charset val="1"/>
      </rPr>
      <t xml:space="preserve">, </t>
    </r>
    <r>
      <rPr>
        <sz val="10"/>
        <rFont val="Noto Sans CJK SC"/>
        <family val="2"/>
      </rPr>
      <t xml:space="preserve">그 안의 폴더와 북마크를 표시한다</t>
    </r>
    <r>
      <rPr>
        <sz val="10"/>
        <rFont val="맑은 고딕"/>
        <family val="0"/>
        <charset val="1"/>
      </rPr>
      <t xml:space="preserve">.</t>
    </r>
  </si>
  <si>
    <t xml:space="preserve">제안: 루트 폴더 표시 방식</t>
  </si>
  <si>
    <t xml:space="preserve">F03-03</t>
  </si>
  <si>
    <r>
      <rPr>
        <sz val="10"/>
        <rFont val="맑은 고딕"/>
        <family val="0"/>
        <charset val="1"/>
      </rPr>
      <t xml:space="preserve">WHEN </t>
    </r>
    <r>
      <rPr>
        <sz val="10"/>
        <rFont val="Noto Sans CJK SC"/>
        <family val="2"/>
      </rPr>
      <t xml:space="preserve">사용자가 앱 폴더를 클릭하면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메인 화면 위에 팝업을 열어 그 폴더 안의 앱을 표시한다</t>
    </r>
    <r>
      <rPr>
        <sz val="10"/>
        <rFont val="맑은 고딕"/>
        <family val="0"/>
        <charset val="1"/>
      </rPr>
      <t xml:space="preserve">.</t>
    </r>
  </si>
  <si>
    <t xml:space="preserve">F03-04</t>
  </si>
  <si>
    <r>
      <rPr>
        <sz val="10"/>
        <rFont val="맑은 고딕"/>
        <family val="0"/>
        <charset val="1"/>
      </rPr>
      <t xml:space="preserve">WHEN </t>
    </r>
    <r>
      <rPr>
        <sz val="10"/>
        <rFont val="Noto Sans CJK SC"/>
        <family val="2"/>
      </rPr>
      <t xml:space="preserve">사용자가 폴더 만들기에서 이름을 입력하고 확인하면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북마크바 맨 뒤에 그 이름의 크롬 북마크 폴더를 만들고 앱 폴더로 표시한다</t>
    </r>
    <r>
      <rPr>
        <sz val="10"/>
        <rFont val="맑은 고딕"/>
        <family val="0"/>
        <charset val="1"/>
      </rPr>
      <t xml:space="preserve">.</t>
    </r>
  </si>
  <si>
    <t xml:space="preserve">수정(v9): 새 폴더 위치를 정리 적용(F07-01)과 같이 북마크바로 맞춤</t>
  </si>
  <si>
    <t xml:space="preserve">F03-05</t>
  </si>
  <si>
    <r>
      <rPr>
        <sz val="10"/>
        <rFont val="맑은 고딕"/>
        <family val="0"/>
        <charset val="1"/>
      </rPr>
      <t xml:space="preserve">WHEN </t>
    </r>
    <r>
      <rPr>
        <sz val="10"/>
        <rFont val="Noto Sans CJK SC"/>
        <family val="2"/>
      </rPr>
      <t xml:space="preserve">사용자가 앱 폴더의 이름을 바꾸면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크롬 북마크 폴더의 이름을 바꾸고</t>
    </r>
    <r>
      <rPr>
        <sz val="10"/>
        <rFont val="맑은 고딕"/>
        <family val="0"/>
        <charset val="1"/>
      </rPr>
      <t xml:space="preserve">, </t>
    </r>
    <r>
      <rPr>
        <sz val="10"/>
        <rFont val="Noto Sans CJK SC"/>
        <family val="2"/>
      </rPr>
      <t xml:space="preserve">크롬 북마크 관리자에도 같은 이름이 보인다</t>
    </r>
    <r>
      <rPr>
        <sz val="10"/>
        <rFont val="맑은 고딕"/>
        <family val="0"/>
        <charset val="1"/>
      </rPr>
      <t xml:space="preserve">.</t>
    </r>
  </si>
  <si>
    <t xml:space="preserve">F03-06</t>
  </si>
  <si>
    <r>
      <rPr>
        <sz val="10"/>
        <rFont val="맑은 고딕"/>
        <family val="0"/>
        <charset val="1"/>
      </rPr>
      <t xml:space="preserve">WHEN </t>
    </r>
    <r>
      <rPr>
        <sz val="10"/>
        <rFont val="Noto Sans CJK SC"/>
        <family val="2"/>
      </rPr>
      <t xml:space="preserve">사용자가 앱 폴더를 삭제하면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안의 북마크를 그 폴더의 상위 폴더로 꺼낸 뒤 폴더만 삭제한다</t>
    </r>
    <r>
      <rPr>
        <sz val="10"/>
        <rFont val="맑은 고딕"/>
        <family val="0"/>
        <charset val="1"/>
      </rPr>
      <t xml:space="preserve">.</t>
    </r>
  </si>
  <si>
    <t xml:space="preserve">제안: 꺼내는 위치는 상위 폴더</t>
  </si>
  <si>
    <t xml:space="preserve">F03-07</t>
  </si>
  <si>
    <r>
      <rPr>
        <sz val="10"/>
        <rFont val="맑은 고딕"/>
        <family val="0"/>
        <charset val="1"/>
      </rPr>
      <t xml:space="preserve">IF </t>
    </r>
    <r>
      <rPr>
        <sz val="10"/>
        <rFont val="Noto Sans CJK SC"/>
        <family val="2"/>
      </rPr>
      <t xml:space="preserve">입력한 폴더 이름이 비어 있거나 공백뿐이면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폴더를 만들거나 바꾸지 않고 </t>
    </r>
    <r>
      <rPr>
        <sz val="10"/>
        <rFont val="맑은 고딕"/>
        <family val="0"/>
        <charset val="1"/>
      </rPr>
      <t xml:space="preserve">"</t>
    </r>
    <r>
      <rPr>
        <sz val="10"/>
        <rFont val="Noto Sans CJK SC"/>
        <family val="2"/>
      </rPr>
      <t xml:space="preserve">폴더 이름을 입력해 주세요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</si>
  <si>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제안</t>
  </si>
  <si>
    <t xml:space="preserve">F03-08</t>
  </si>
  <si>
    <r>
      <rPr>
        <sz val="10"/>
        <rFont val="맑은 고딕"/>
        <family val="0"/>
        <charset val="1"/>
      </rPr>
      <t xml:space="preserve">IF </t>
    </r>
    <r>
      <rPr>
        <sz val="10"/>
        <rFont val="Noto Sans CJK SC"/>
        <family val="2"/>
      </rPr>
      <t xml:space="preserve">앱 폴더 안에 하위 폴더가 있으면 </t>
    </r>
    <r>
      <rPr>
        <sz val="10"/>
        <rFont val="맑은 고딕"/>
        <family val="0"/>
        <charset val="1"/>
      </rPr>
      <t xml:space="preserve">THEN THE </t>
    </r>
    <r>
      <rPr>
        <sz val="10"/>
        <rFont val="Noto Sans CJK SC"/>
        <family val="2"/>
      </rPr>
      <t xml:space="preserve">팝업은 </t>
    </r>
    <r>
      <rPr>
        <sz val="10"/>
        <rFont val="맑은 고딕"/>
        <family val="0"/>
        <charset val="1"/>
      </rPr>
      <t xml:space="preserve">SHALL </t>
    </r>
    <r>
      <rPr>
        <sz val="10"/>
        <rFont val="Noto Sans CJK SC"/>
        <family val="2"/>
      </rPr>
      <t xml:space="preserve">하위 폴더를 앱 폴더로 표시하고</t>
    </r>
    <r>
      <rPr>
        <sz val="10"/>
        <rFont val="맑은 고딕"/>
        <family val="0"/>
        <charset val="1"/>
      </rPr>
      <t xml:space="preserve">, </t>
    </r>
    <r>
      <rPr>
        <sz val="10"/>
        <rFont val="Noto Sans CJK SC"/>
        <family val="2"/>
      </rPr>
      <t xml:space="preserve">누르면 같은 팝업 안에서 그 폴더로 들어간다</t>
    </r>
    <r>
      <rPr>
        <sz val="10"/>
        <rFont val="맑은 고딕"/>
        <family val="0"/>
        <charset val="1"/>
      </rPr>
      <t xml:space="preserve">.</t>
    </r>
  </si>
  <si>
    <t xml:space="preserve">확정(v5) · 실행 확인: 팝업 위쪽에 상위 폴더로 돌아가는 버튼을 둠</t>
  </si>
  <si>
    <t xml:space="preserve">F04-01</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</si>
  <si>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마지막으로 연 지 </t>
    </r>
    <r>
      <rPr>
        <sz val="10"/>
        <rFont val="맑은 고딕"/>
        <family val="0"/>
        <charset val="1"/>
      </rPr>
      <t xml:space="preserve">30</t>
    </r>
    <r>
      <rPr>
        <sz val="10"/>
        <rFont val="Noto Sans CJK SC"/>
        <family val="2"/>
      </rPr>
      <t xml:space="preserve">일 이상 지난 북마크를 위치</t>
    </r>
    <r>
      <rPr>
        <sz val="10"/>
        <rFont val="맑은 고딕"/>
        <family val="0"/>
        <charset val="1"/>
      </rPr>
      <t xml:space="preserve">(</t>
    </r>
    <r>
      <rPr>
        <sz val="10"/>
        <rFont val="Noto Sans CJK SC"/>
        <family val="2"/>
      </rPr>
      <t xml:space="preserve">북마크바</t>
    </r>
    <r>
      <rPr>
        <sz val="10"/>
        <rFont val="맑은 고딕"/>
        <family val="0"/>
        <charset val="1"/>
      </rPr>
      <t xml:space="preserve">, </t>
    </r>
    <r>
      <rPr>
        <sz val="10"/>
        <rFont val="Noto Sans CJK SC"/>
        <family val="2"/>
      </rPr>
      <t xml:space="preserve">기타 북마크</t>
    </r>
    <r>
      <rPr>
        <sz val="10"/>
        <rFont val="맑은 고딕"/>
        <family val="0"/>
        <charset val="1"/>
      </rPr>
      <t xml:space="preserve">, </t>
    </r>
    <r>
      <rPr>
        <sz val="10"/>
        <rFont val="Noto Sans CJK SC"/>
        <family val="2"/>
      </rPr>
      <t xml:space="preserve">폴더 안</t>
    </r>
    <r>
      <rPr>
        <sz val="10"/>
        <rFont val="맑은 고딕"/>
        <family val="0"/>
        <charset val="1"/>
      </rPr>
      <t xml:space="preserve">)</t>
    </r>
    <r>
      <rPr>
        <sz val="10"/>
        <rFont val="Noto Sans CJK SC"/>
        <family val="2"/>
      </rPr>
      <t xml:space="preserve">와 관계없이 </t>
    </r>
    <r>
      <rPr>
        <sz val="10"/>
        <rFont val="맑은 고딕"/>
        <family val="0"/>
        <charset val="1"/>
      </rPr>
      <t xml:space="preserve">"</t>
    </r>
    <r>
      <rPr>
        <sz val="10"/>
        <rFont val="Noto Sans CJK SC"/>
        <family val="2"/>
      </rPr>
      <t xml:space="preserve">잊고 있던 북마크</t>
    </r>
    <r>
      <rPr>
        <sz val="10"/>
        <rFont val="맑은 고딕"/>
        <family val="0"/>
        <charset val="1"/>
      </rPr>
      <t xml:space="preserve">" </t>
    </r>
    <r>
      <rPr>
        <sz val="10"/>
        <rFont val="Noto Sans CJK SC"/>
        <family val="2"/>
      </rPr>
      <t xml:space="preserve">후보로 고른다</t>
    </r>
    <r>
      <rPr>
        <sz val="10"/>
        <rFont val="맑은 고딕"/>
        <family val="0"/>
        <charset val="1"/>
      </rPr>
      <t xml:space="preserve">.</t>
    </r>
  </si>
  <si>
    <t xml:space="preserve">2-3, 3-3</t>
  </si>
  <si>
    <t xml:space="preserve">F04-02</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</si>
  <si>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저장한 지 </t>
    </r>
    <r>
      <rPr>
        <sz val="10"/>
        <rFont val="맑은 고딕"/>
        <family val="0"/>
        <charset val="1"/>
      </rPr>
      <t xml:space="preserve">7</t>
    </r>
    <r>
      <rPr>
        <sz val="10"/>
        <rFont val="Noto Sans CJK SC"/>
        <family val="2"/>
      </rPr>
      <t xml:space="preserve">일이 안 된 북마크</t>
    </r>
    <r>
      <rPr>
        <sz val="10"/>
        <rFont val="맑은 고딕"/>
        <family val="0"/>
        <charset val="1"/>
      </rPr>
      <t xml:space="preserve">, </t>
    </r>
    <r>
      <rPr>
        <sz val="10"/>
        <rFont val="Noto Sans CJK SC"/>
        <family val="2"/>
      </rPr>
      <t xml:space="preserve">독에 고정된 북마크</t>
    </r>
    <r>
      <rPr>
        <sz val="10"/>
        <rFont val="맑은 고딕"/>
        <family val="0"/>
        <charset val="1"/>
      </rPr>
      <t xml:space="preserve">, "</t>
    </r>
    <r>
      <rPr>
        <sz val="10"/>
        <rFont val="Noto Sans CJK SC"/>
        <family val="2"/>
      </rPr>
      <t xml:space="preserve">이제 안 봐도 됨</t>
    </r>
    <r>
      <rPr>
        <sz val="10"/>
        <rFont val="맑은 고딕"/>
        <family val="0"/>
        <charset val="1"/>
      </rPr>
      <t xml:space="preserve">"</t>
    </r>
    <r>
      <rPr>
        <sz val="10"/>
        <rFont val="Noto Sans CJK SC"/>
        <family val="2"/>
      </rPr>
      <t xml:space="preserve">을 누른 북마크</t>
    </r>
    <r>
      <rPr>
        <sz val="10"/>
        <rFont val="맑은 고딕"/>
        <family val="0"/>
        <charset val="1"/>
      </rPr>
      <t xml:space="preserve">, javascript:·chrome:// </t>
    </r>
    <r>
      <rPr>
        <sz val="10"/>
        <rFont val="Noto Sans CJK SC"/>
        <family val="2"/>
      </rPr>
      <t xml:space="preserve">주소의 북마크를 후보에서 뺀다</t>
    </r>
    <r>
      <rPr>
        <sz val="10"/>
        <rFont val="맑은 고딕"/>
        <family val="0"/>
        <charset val="1"/>
      </rPr>
      <t xml:space="preserve">.</t>
    </r>
  </si>
  <si>
    <t xml:space="preserve">참고: '7일이 안 된 북마크'는 30일 조건에 이미 포함돼 따로 구현할 필요 없음</t>
  </si>
  <si>
    <t xml:space="preserve">F04-03</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</si>
  <si>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마지막으로 연 시각을 </t>
    </r>
    <r>
      <rPr>
        <sz val="10"/>
        <rFont val="맑은 고딕"/>
        <family val="0"/>
        <charset val="1"/>
      </rPr>
      <t xml:space="preserve">lastOpenedByUs</t>
    </r>
    <r>
      <rPr>
        <sz val="10"/>
        <rFont val="Noto Sans CJK SC"/>
        <family val="2"/>
      </rPr>
      <t xml:space="preserve">와 </t>
    </r>
    <r>
      <rPr>
        <sz val="10"/>
        <rFont val="맑은 고딕"/>
        <family val="0"/>
        <charset val="1"/>
      </rPr>
      <t xml:space="preserve">dateLastUsed </t>
    </r>
    <r>
      <rPr>
        <sz val="10"/>
        <rFont val="Noto Sans CJK SC"/>
        <family val="2"/>
      </rPr>
      <t xml:space="preserve">중 더 최근 값으로 정하고</t>
    </r>
    <r>
      <rPr>
        <sz val="10"/>
        <rFont val="맑은 고딕"/>
        <family val="0"/>
        <charset val="1"/>
      </rPr>
      <t xml:space="preserve">, </t>
    </r>
    <r>
      <rPr>
        <sz val="10"/>
        <rFont val="Noto Sans CJK SC"/>
        <family val="2"/>
      </rPr>
      <t xml:space="preserve">둘 다 없으면 </t>
    </r>
    <r>
      <rPr>
        <sz val="10"/>
        <rFont val="맑은 고딕"/>
        <family val="0"/>
        <charset val="1"/>
      </rPr>
      <t xml:space="preserve">dateAdded</t>
    </r>
    <r>
      <rPr>
        <sz val="10"/>
        <rFont val="Noto Sans CJK SC"/>
        <family val="2"/>
      </rPr>
      <t xml:space="preserve">를 쓴다</t>
    </r>
    <r>
      <rPr>
        <sz val="10"/>
        <rFont val="맑은 고딕"/>
        <family val="0"/>
        <charset val="1"/>
      </rPr>
      <t xml:space="preserve">.</t>
    </r>
  </si>
  <si>
    <t xml:space="preserve">확정(v5): 둘 중 더 최근 값을 쓴다. 주소창으로만 여는 북마크가 후보에 나오는 한계는 받아들인다([이제 안 봐도 됨]으로 뺄 수 있음). 실행 확인(v3·v4): dateLastUsed는 북마크바 클릭과 북마크 관리자에서 열 때는 바뀌고, 주소창 입력·링크·우리 새 탭·tabs API로 열 때는 바뀌지 않음. 그래서 lastOpenedByUs 기록이 반드시 필요하고, 주소창으로만 여는 북마크는 '안 연 것'으로 보임(알려진 한계)</t>
  </si>
  <si>
    <t xml:space="preserve">F04-04</t>
  </si>
  <si>
    <t xml:space="preserve">State-driven</t>
  </si>
  <si>
    <r>
      <rPr>
        <sz val="10"/>
        <rFont val="맑은 고딕"/>
        <family val="0"/>
        <charset val="1"/>
      </rPr>
      <t xml:space="preserve">WHILE </t>
    </r>
    <r>
      <rPr>
        <sz val="10"/>
        <rFont val="Noto Sans CJK SC"/>
        <family val="2"/>
      </rPr>
      <t xml:space="preserve">후보가 </t>
    </r>
    <r>
      <rPr>
        <sz val="10"/>
        <rFont val="맑은 고딕"/>
        <family val="0"/>
        <charset val="1"/>
      </rPr>
      <t xml:space="preserve">1</t>
    </r>
    <r>
      <rPr>
        <sz val="10"/>
        <rFont val="Noto Sans CJK SC"/>
        <family val="2"/>
      </rPr>
      <t xml:space="preserve">개 이상인 동안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앱 폴더 줄 맨 앞에 </t>
    </r>
    <r>
      <rPr>
        <sz val="10"/>
        <rFont val="맑은 고딕"/>
        <family val="0"/>
        <charset val="1"/>
      </rPr>
      <t xml:space="preserve">"</t>
    </r>
    <r>
      <rPr>
        <sz val="10"/>
        <rFont val="Noto Sans CJK SC"/>
        <family val="2"/>
      </rPr>
      <t xml:space="preserve">잊고 있던 북마크</t>
    </r>
    <r>
      <rPr>
        <sz val="10"/>
        <rFont val="맑은 고딕"/>
        <family val="0"/>
        <charset val="1"/>
      </rPr>
      <t xml:space="preserve">" </t>
    </r>
    <r>
      <rPr>
        <sz val="10"/>
        <rFont val="Noto Sans CJK SC"/>
        <family val="2"/>
      </rPr>
      <t xml:space="preserve">폴더를 표시하는 개수</t>
    </r>
    <r>
      <rPr>
        <sz val="10"/>
        <rFont val="맑은 고딕"/>
        <family val="0"/>
        <charset val="1"/>
      </rPr>
      <t xml:space="preserve">(</t>
    </r>
    <r>
      <rPr>
        <sz val="10"/>
        <rFont val="Noto Sans CJK SC"/>
        <family val="2"/>
      </rPr>
      <t xml:space="preserve">최대 </t>
    </r>
    <r>
      <rPr>
        <sz val="10"/>
        <rFont val="맑은 고딕"/>
        <family val="0"/>
        <charset val="1"/>
      </rPr>
      <t xml:space="preserve">8) </t>
    </r>
    <r>
      <rPr>
        <sz val="10"/>
        <rFont val="Noto Sans CJK SC"/>
        <family val="2"/>
      </rPr>
      <t xml:space="preserve">배지와 함께 표시한다</t>
    </r>
    <r>
      <rPr>
        <sz val="10"/>
        <rFont val="맑은 고딕"/>
        <family val="0"/>
        <charset val="1"/>
      </rPr>
      <t xml:space="preserve">.</t>
    </r>
  </si>
  <si>
    <t xml:space="preserve">수정(v9): 확정 시안은 다른 폴더와 구별되는 어두운 색 카드</t>
  </si>
  <si>
    <t xml:space="preserve">F04-05</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</si>
  <si>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잊고 있던 북마크</t>
    </r>
    <r>
      <rPr>
        <sz val="10"/>
        <rFont val="맑은 고딕"/>
        <family val="0"/>
        <charset val="1"/>
      </rPr>
      <t xml:space="preserve">" </t>
    </r>
    <r>
      <rPr>
        <sz val="10"/>
        <rFont val="Noto Sans CJK SC"/>
        <family val="2"/>
      </rPr>
      <t xml:space="preserve">폴더를 클릭하면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후보를 오래 안 연 순서로 최대 </t>
    </r>
    <r>
      <rPr>
        <sz val="10"/>
        <rFont val="맑은 고딕"/>
        <family val="0"/>
        <charset val="1"/>
      </rPr>
      <t xml:space="preserve">8</t>
    </r>
    <r>
      <rPr>
        <sz val="10"/>
        <rFont val="Noto Sans CJK SC"/>
        <family val="2"/>
      </rPr>
      <t xml:space="preserve">개까지 팝업에 표시하고</t>
    </r>
    <r>
      <rPr>
        <sz val="10"/>
        <rFont val="맑은 고딕"/>
        <family val="0"/>
        <charset val="1"/>
      </rPr>
      <t xml:space="preserve">, </t>
    </r>
    <r>
      <rPr>
        <sz val="10"/>
        <rFont val="Noto Sans CJK SC"/>
        <family val="2"/>
      </rPr>
      <t xml:space="preserve">각 앱에 </t>
    </r>
    <r>
      <rPr>
        <sz val="10"/>
        <rFont val="맑은 고딕"/>
        <family val="0"/>
        <charset val="1"/>
      </rPr>
      <t xml:space="preserve">"N</t>
    </r>
    <r>
      <rPr>
        <sz val="10"/>
        <rFont val="Noto Sans CJK SC"/>
        <family val="2"/>
      </rPr>
      <t xml:space="preserve">개월 전 저장</t>
    </r>
    <r>
      <rPr>
        <sz val="10"/>
        <rFont val="맑은 고딕"/>
        <family val="0"/>
        <charset val="1"/>
      </rPr>
      <t xml:space="preserve">"</t>
    </r>
    <r>
      <rPr>
        <sz val="10"/>
        <rFont val="Noto Sans CJK SC"/>
        <family val="2"/>
      </rPr>
      <t xml:space="preserve">과 </t>
    </r>
    <r>
      <rPr>
        <sz val="10"/>
        <rFont val="맑은 고딕"/>
        <family val="0"/>
        <charset val="1"/>
      </rPr>
      <t xml:space="preserve">"N</t>
    </r>
    <r>
      <rPr>
        <sz val="10"/>
        <rFont val="Noto Sans CJK SC"/>
        <family val="2"/>
      </rPr>
      <t xml:space="preserve">개월 전에 열어 봄</t>
    </r>
    <r>
      <rPr>
        <sz val="10"/>
        <rFont val="맑은 고딕"/>
        <family val="0"/>
        <charset val="1"/>
      </rPr>
      <t xml:space="preserve">"</t>
    </r>
    <r>
      <rPr>
        <sz val="10"/>
        <rFont val="Noto Sans CJK SC"/>
        <family val="2"/>
      </rPr>
      <t xml:space="preserve">을 표시한다</t>
    </r>
    <r>
      <rPr>
        <sz val="10"/>
        <rFont val="맑은 고딕"/>
        <family val="0"/>
        <charset val="1"/>
      </rPr>
      <t xml:space="preserve">.</t>
    </r>
  </si>
  <si>
    <t xml:space="preserve">추가(v9): 설치 첫날에는 주소창으로 여는 북마크까지 대부분 후보가 되므로 8개 상한을 둠. 후보가 8개를 넘으면 "N개 더 있어요 · 모두 보기"로 나머지를 봄(P2). 열거나 고정하거나 [이제 안 봐도 됨]을 누르면 다음 후보가 올라옴</t>
  </si>
  <si>
    <t xml:space="preserve">F04-06</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</si>
  <si>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잊고 있던 북마크</t>
    </r>
    <r>
      <rPr>
        <sz val="10"/>
        <rFont val="맑은 고딕"/>
        <family val="0"/>
        <charset val="1"/>
      </rPr>
      <t xml:space="preserve">" </t>
    </r>
    <r>
      <rPr>
        <sz val="10"/>
        <rFont val="Noto Sans CJK SC"/>
        <family val="2"/>
      </rPr>
      <t xml:space="preserve">폴더를 크롬 북마크에 만들지 않고</t>
    </r>
    <r>
      <rPr>
        <sz val="10"/>
        <rFont val="맑은 고딕"/>
        <family val="0"/>
        <charset val="1"/>
      </rPr>
      <t xml:space="preserve">, </t>
    </r>
    <r>
      <rPr>
        <sz val="10"/>
        <rFont val="Noto Sans CJK SC"/>
        <family val="2"/>
      </rPr>
      <t xml:space="preserve">후보 북마크의 위치를 바꾸지 않는다</t>
    </r>
    <r>
      <rPr>
        <sz val="10"/>
        <rFont val="맑은 고딕"/>
        <family val="0"/>
        <charset val="1"/>
      </rPr>
      <t xml:space="preserve">.</t>
    </r>
  </si>
  <si>
    <t xml:space="preserve">F04-07</t>
  </si>
  <si>
    <r>
      <rPr>
        <sz val="10"/>
        <rFont val="맑은 고딕"/>
        <family val="0"/>
        <charset val="1"/>
      </rPr>
      <t xml:space="preserve">WHEN </t>
    </r>
    <r>
      <rPr>
        <sz val="10"/>
        <rFont val="Noto Sans CJK SC"/>
        <family val="2"/>
      </rPr>
      <t xml:space="preserve">사용자가 후보 앱을 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페이지를 열고 연 시각을 기록하며</t>
    </r>
    <r>
      <rPr>
        <sz val="10"/>
        <rFont val="맑은 고딕"/>
        <family val="0"/>
        <charset val="1"/>
      </rPr>
      <t xml:space="preserve">, </t>
    </r>
    <r>
      <rPr>
        <sz val="10"/>
        <rFont val="Noto Sans CJK SC"/>
        <family val="2"/>
      </rPr>
      <t xml:space="preserve">그 북마크를 후보에서 뺀다</t>
    </r>
    <r>
      <rPr>
        <sz val="10"/>
        <rFont val="맑은 고딕"/>
        <family val="0"/>
        <charset val="1"/>
      </rPr>
      <t xml:space="preserve">.</t>
    </r>
  </si>
  <si>
    <t xml:space="preserve">수정(v9): 아이콘과 제목 어느 쪽을 눌러도 열림</t>
  </si>
  <si>
    <t xml:space="preserve">F04-08</t>
  </si>
  <si>
    <r>
      <rPr>
        <sz val="10"/>
        <rFont val="맑은 고딕"/>
        <family val="0"/>
        <charset val="1"/>
      </rPr>
      <t xml:space="preserve">WHEN </t>
    </r>
    <r>
      <rPr>
        <sz val="10"/>
        <rFont val="Noto Sans CJK SC"/>
        <family val="2"/>
      </rPr>
      <t xml:space="preserve">사용자가 후보 앱에서 </t>
    </r>
    <r>
      <rPr>
        <sz val="10"/>
        <rFont val="맑은 고딕"/>
        <family val="0"/>
        <charset val="1"/>
      </rPr>
      <t xml:space="preserve">[</t>
    </r>
    <r>
      <rPr>
        <sz val="10"/>
        <rFont val="Noto Sans CJK SC"/>
        <family val="2"/>
      </rPr>
      <t xml:space="preserve">고정하기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북마크를 독에 추가하고 후보에서 뺀다</t>
    </r>
    <r>
      <rPr>
        <sz val="10"/>
        <rFont val="맑은 고딕"/>
        <family val="0"/>
        <charset val="1"/>
      </rPr>
      <t xml:space="preserve">.</t>
    </r>
  </si>
  <si>
    <t xml:space="preserve">F04-09</t>
  </si>
  <si>
    <r>
      <rPr>
        <sz val="10"/>
        <rFont val="맑은 고딕"/>
        <family val="0"/>
        <charset val="1"/>
      </rPr>
      <t xml:space="preserve">WHEN </t>
    </r>
    <r>
      <rPr>
        <sz val="10"/>
        <rFont val="Noto Sans CJK SC"/>
        <family val="2"/>
      </rPr>
      <t xml:space="preserve">사용자가 후보 앱에서 </t>
    </r>
    <r>
      <rPr>
        <sz val="10"/>
        <rFont val="맑은 고딕"/>
        <family val="0"/>
        <charset val="1"/>
      </rPr>
      <t xml:space="preserve">[</t>
    </r>
    <r>
      <rPr>
        <sz val="10"/>
        <rFont val="Noto Sans CJK SC"/>
        <family val="2"/>
      </rPr>
      <t xml:space="preserve">이제 안 봐도 됨</t>
    </r>
    <r>
      <rPr>
        <sz val="10"/>
        <rFont val="맑은 고딕"/>
        <family val="0"/>
        <charset val="1"/>
      </rPr>
      <t xml:space="preserve">]</t>
    </r>
    <r>
      <rPr>
        <sz val="10"/>
        <rFont val="Noto Sans CJK SC"/>
        <family val="2"/>
      </rPr>
      <t xml:space="preserve">을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북마크를 </t>
    </r>
    <r>
      <rPr>
        <sz val="10"/>
        <rFont val="맑은 고딕"/>
        <family val="0"/>
        <charset val="1"/>
      </rPr>
      <t xml:space="preserve">dismissed</t>
    </r>
    <r>
      <rPr>
        <sz val="10"/>
        <rFont val="Noto Sans CJK SC"/>
        <family val="2"/>
      </rPr>
      <t xml:space="preserve">에 기록해 다시 후보로 고르지 않고</t>
    </r>
    <r>
      <rPr>
        <sz val="10"/>
        <rFont val="맑은 고딕"/>
        <family val="0"/>
        <charset val="1"/>
      </rPr>
      <t xml:space="preserve">, [</t>
    </r>
    <r>
      <rPr>
        <sz val="10"/>
        <rFont val="Noto Sans CJK SC"/>
        <family val="2"/>
      </rPr>
      <t xml:space="preserve">되돌리기</t>
    </r>
    <r>
      <rPr>
        <sz val="10"/>
        <rFont val="맑은 고딕"/>
        <family val="0"/>
        <charset val="1"/>
      </rPr>
      <t xml:space="preserve">] </t>
    </r>
    <r>
      <rPr>
        <sz val="10"/>
        <rFont val="Noto Sans CJK SC"/>
        <family val="2"/>
      </rPr>
      <t xml:space="preserve">버튼을 표시한다</t>
    </r>
    <r>
      <rPr>
        <sz val="10"/>
        <rFont val="맑은 고딕"/>
        <family val="0"/>
        <charset val="1"/>
      </rPr>
      <t xml:space="preserve">.</t>
    </r>
  </si>
  <si>
    <t xml:space="preserve">확정(v9): [되돌리기] 안내는 6초 동안 표시</t>
  </si>
  <si>
    <t xml:space="preserve">F04-10</t>
  </si>
  <si>
    <r>
      <rPr>
        <sz val="10"/>
        <rFont val="맑은 고딕"/>
        <family val="0"/>
        <charset val="1"/>
      </rPr>
      <t xml:space="preserve">WHEN </t>
    </r>
    <r>
      <rPr>
        <sz val="10"/>
        <rFont val="Noto Sans CJK SC"/>
        <family val="2"/>
      </rPr>
      <t xml:space="preserve">사용자가 후보 앱에서 </t>
    </r>
    <r>
      <rPr>
        <sz val="10"/>
        <rFont val="맑은 고딕"/>
        <family val="0"/>
        <charset val="1"/>
      </rPr>
      <t xml:space="preserve">[</t>
    </r>
    <r>
      <rPr>
        <sz val="10"/>
        <rFont val="Noto Sans CJK SC"/>
        <family val="2"/>
      </rPr>
      <t xml:space="preserve">어디 있는지 보기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그 북마크가 들어 있는 앱 폴더의 팝업을 연다</t>
    </r>
    <r>
      <rPr>
        <sz val="10"/>
        <rFont val="맑은 고딕"/>
        <family val="0"/>
        <charset val="1"/>
      </rPr>
      <t xml:space="preserve">.</t>
    </r>
  </si>
  <si>
    <t xml:space="preserve">F04-11</t>
  </si>
  <si>
    <r>
      <rPr>
        <sz val="10"/>
        <rFont val="맑은 고딕"/>
        <family val="0"/>
        <charset val="1"/>
      </rPr>
      <t xml:space="preserve">IF </t>
    </r>
    <r>
      <rPr>
        <sz val="10"/>
        <rFont val="Noto Sans CJK SC"/>
        <family val="2"/>
      </rPr>
      <t xml:space="preserve">후보가 하나도 없으면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잊고 있던 북마크</t>
    </r>
    <r>
      <rPr>
        <sz val="10"/>
        <rFont val="맑은 고딕"/>
        <family val="0"/>
        <charset val="1"/>
      </rPr>
      <t xml:space="preserve">" </t>
    </r>
    <r>
      <rPr>
        <sz val="10"/>
        <rFont val="Noto Sans CJK SC"/>
        <family val="2"/>
      </rPr>
      <t xml:space="preserve">폴더를 표시하지 않는다</t>
    </r>
    <r>
      <rPr>
        <sz val="10"/>
        <rFont val="맑은 고딕"/>
        <family val="0"/>
        <charset val="1"/>
      </rPr>
      <t xml:space="preserve">.</t>
    </r>
  </si>
  <si>
    <t xml:space="preserve">F04-12</t>
  </si>
  <si>
    <r>
      <rPr>
        <sz val="10"/>
        <rFont val="맑은 고딕"/>
        <family val="0"/>
        <charset val="1"/>
      </rPr>
      <t xml:space="preserve">IF </t>
    </r>
    <r>
      <rPr>
        <sz val="10"/>
        <rFont val="Noto Sans CJK SC"/>
        <family val="2"/>
      </rPr>
      <t xml:space="preserve">북마크에 </t>
    </r>
    <r>
      <rPr>
        <sz val="10"/>
        <rFont val="맑은 고딕"/>
        <family val="0"/>
        <charset val="1"/>
      </rPr>
      <t xml:space="preserve">lastOpenedByUs</t>
    </r>
    <r>
      <rPr>
        <sz val="10"/>
        <rFont val="Noto Sans CJK SC"/>
        <family val="2"/>
      </rPr>
      <t xml:space="preserve">와 </t>
    </r>
    <r>
      <rPr>
        <sz val="10"/>
        <rFont val="맑은 고딕"/>
        <family val="0"/>
        <charset val="1"/>
      </rPr>
      <t xml:space="preserve">dateLastUsed</t>
    </r>
    <r>
      <rPr>
        <sz val="10"/>
        <rFont val="Noto Sans CJK SC"/>
        <family val="2"/>
      </rPr>
      <t xml:space="preserve">가 모두 없으면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그 앱에 </t>
    </r>
    <r>
      <rPr>
        <sz val="10"/>
        <rFont val="맑은 고딕"/>
        <family val="0"/>
        <charset val="1"/>
      </rPr>
      <t xml:space="preserve">"</t>
    </r>
    <r>
      <rPr>
        <sz val="10"/>
        <rFont val="Noto Sans CJK SC"/>
        <family val="2"/>
      </rPr>
      <t xml:space="preserve">연 기록 없음</t>
    </r>
    <r>
      <rPr>
        <sz val="10"/>
        <rFont val="맑은 고딕"/>
        <family val="0"/>
        <charset val="1"/>
      </rPr>
      <t xml:space="preserve">"</t>
    </r>
    <r>
      <rPr>
        <sz val="10"/>
        <rFont val="Noto Sans CJK SC"/>
        <family val="2"/>
      </rPr>
      <t xml:space="preserve">을 표시한다</t>
    </r>
    <r>
      <rPr>
        <sz val="10"/>
        <rFont val="맑은 고딕"/>
        <family val="0"/>
        <charset val="1"/>
      </rPr>
      <t xml:space="preserve">.</t>
    </r>
  </si>
  <si>
    <t xml:space="preserve">수정(v9): 주소창으로 여는 북마크는 기록이 남지 않아 "안 열어 봄"이 틀린 말이 됨</t>
  </si>
  <si>
    <t xml:space="preserve">F05-01</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</si>
  <si>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북마크를 ① 사이트 분류표 ② 주소 끝 규칙 ③ 제목 키워드 순서로 확인해</t>
    </r>
    <r>
      <rPr>
        <sz val="10"/>
        <rFont val="맑은 고딕"/>
        <family val="0"/>
        <charset val="1"/>
      </rPr>
      <t xml:space="preserve">, </t>
    </r>
    <r>
      <rPr>
        <sz val="10"/>
        <rFont val="Noto Sans CJK SC"/>
        <family val="2"/>
      </rPr>
      <t xml:space="preserve">처음 맞는 단계에서 카테고리 하나를 정하고 멈춘다</t>
    </r>
    <r>
      <rPr>
        <sz val="10"/>
        <rFont val="맑은 고딕"/>
        <family val="0"/>
        <charset val="1"/>
      </rPr>
      <t xml:space="preserve">. </t>
    </r>
    <r>
      <rPr>
        <sz val="10"/>
        <rFont val="Noto Sans CJK SC"/>
        <family val="2"/>
      </rPr>
      <t xml:space="preserve">사이트 분류표에서 여러 항목이 맞으면 더 긴</t>
    </r>
    <r>
      <rPr>
        <sz val="10"/>
        <rFont val="맑은 고딕"/>
        <family val="0"/>
        <charset val="1"/>
      </rPr>
      <t xml:space="preserve">(</t>
    </r>
    <r>
      <rPr>
        <sz val="10"/>
        <rFont val="Noto Sans CJK SC"/>
        <family val="2"/>
      </rPr>
      <t xml:space="preserve">구체적인</t>
    </r>
    <r>
      <rPr>
        <sz val="10"/>
        <rFont val="맑은 고딕"/>
        <family val="0"/>
        <charset val="1"/>
      </rPr>
      <t xml:space="preserve">) </t>
    </r>
    <r>
      <rPr>
        <sz val="10"/>
        <rFont val="Noto Sans CJK SC"/>
        <family val="2"/>
      </rPr>
      <t xml:space="preserve">주소를 따른다</t>
    </r>
    <r>
      <rPr>
        <sz val="10"/>
        <rFont val="맑은 고딕"/>
        <family val="0"/>
        <charset val="1"/>
      </rPr>
      <t xml:space="preserve">. </t>
    </r>
    <r>
      <rPr>
        <sz val="10"/>
        <rFont val="Noto Sans CJK SC"/>
        <family val="2"/>
      </rPr>
      <t xml:space="preserve">주소가 </t>
    </r>
    <r>
      <rPr>
        <sz val="10"/>
        <rFont val="맑은 고딕"/>
        <family val="0"/>
        <charset val="1"/>
      </rPr>
      <t xml:space="preserve">categories.json</t>
    </r>
    <r>
      <rPr>
        <sz val="10"/>
        <rFont val="Noto Sans CJK SC"/>
        <family val="2"/>
      </rPr>
      <t xml:space="preserve">의 </t>
    </r>
    <r>
      <rPr>
        <sz val="10"/>
        <rFont val="맑은 고딕"/>
        <family val="0"/>
        <charset val="1"/>
      </rPr>
      <t xml:space="preserve">'</t>
    </r>
    <r>
      <rPr>
        <sz val="10"/>
        <rFont val="Noto Sans CJK SC"/>
        <family val="2"/>
      </rPr>
      <t xml:space="preserve">분류하지 않는 사이트</t>
    </r>
    <r>
      <rPr>
        <sz val="10"/>
        <rFont val="맑은 고딕"/>
        <family val="0"/>
        <charset val="1"/>
      </rPr>
      <t xml:space="preserve">'</t>
    </r>
    <r>
      <rPr>
        <sz val="10"/>
        <rFont val="Noto Sans CJK SC"/>
        <family val="2"/>
      </rPr>
      <t xml:space="preserve">에 맞으면 주소 끝 규칙과 제목 키워드를 확인하지 않고 분류 안 됨으로 정한다</t>
    </r>
    <r>
      <rPr>
        <sz val="10"/>
        <rFont val="맑은 고딕"/>
        <family val="0"/>
        <charset val="1"/>
      </rPr>
      <t xml:space="preserve">.</t>
    </r>
  </si>
  <si>
    <t xml:space="preserve">2-5 ~ 2-8</t>
  </si>
  <si>
    <t xml:space="preserve">추가(v4) · 실행 확인: 앞의 www.는 떼고, 하위 주소(m.blog.naver.com)도 같은 항목으로 봄. blog.naver.com과 cafe.naver.com이 서로 다른 카테고리로 나뉘는 것을 확인
추가(v11): 분류하지 않는 사이트(뉴스·위키·검색 결과)는 제목 키워드 오분류를 막기 위한 것. 분류표 항목과 함께 비교하고 더 긴 주소를 따름. 주소 끝 규칙에 .edu 추가. 제목 키워드는 띄어쓰기를 없애지 않고 비교. 정의와 분류표 내용은 category-definitions.md</t>
  </si>
  <si>
    <t xml:space="preserve">F05-02</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</si>
  <si>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분류 결과마다 근거</t>
    </r>
    <r>
      <rPr>
        <sz val="10"/>
        <rFont val="맑은 고딕"/>
        <family val="0"/>
        <charset val="1"/>
      </rPr>
      <t xml:space="preserve">(</t>
    </r>
    <r>
      <rPr>
        <sz val="10"/>
        <rFont val="Noto Sans CJK SC"/>
        <family val="2"/>
      </rPr>
      <t xml:space="preserve">맞은 단계와 맞은 규칙</t>
    </r>
    <r>
      <rPr>
        <sz val="10"/>
        <rFont val="맑은 고딕"/>
        <family val="0"/>
        <charset val="1"/>
      </rPr>
      <t xml:space="preserve">)</t>
    </r>
    <r>
      <rPr>
        <sz val="10"/>
        <rFont val="Noto Sans CJK SC"/>
        <family val="2"/>
      </rPr>
      <t xml:space="preserve">를 함께 돌려준다</t>
    </r>
    <r>
      <rPr>
        <sz val="10"/>
        <rFont val="맑은 고딕"/>
        <family val="0"/>
        <charset val="1"/>
      </rPr>
      <t xml:space="preserve">.</t>
    </r>
  </si>
  <si>
    <t xml:space="preserve">F05-03</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</si>
  <si>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분류표와 제목 키워드를 코드가 아닌 </t>
    </r>
    <r>
      <rPr>
        <sz val="10"/>
        <rFont val="맑은 고딕"/>
        <family val="0"/>
        <charset val="1"/>
      </rPr>
      <t xml:space="preserve">data/categories.json</t>
    </r>
    <r>
      <rPr>
        <sz val="10"/>
        <rFont val="Noto Sans CJK SC"/>
        <family val="2"/>
      </rPr>
      <t xml:space="preserve">에서 읽는다</t>
    </r>
    <r>
      <rPr>
        <sz val="10"/>
        <rFont val="맑은 고딕"/>
        <family val="0"/>
        <charset val="1"/>
      </rPr>
      <t xml:space="preserve">.</t>
    </r>
  </si>
  <si>
    <t xml:space="preserve">F05-04</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</si>
  <si>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북마크바</t>
    </r>
    <r>
      <rPr>
        <sz val="10"/>
        <rFont val="맑은 고딕"/>
        <family val="0"/>
        <charset val="1"/>
      </rPr>
      <t xml:space="preserve">·</t>
    </r>
    <r>
      <rPr>
        <sz val="10"/>
        <rFont val="Noto Sans CJK SC"/>
        <family val="2"/>
      </rPr>
      <t xml:space="preserve">기타 북마크</t>
    </r>
    <r>
      <rPr>
        <sz val="10"/>
        <rFont val="맑은 고딕"/>
        <family val="0"/>
        <charset val="1"/>
      </rPr>
      <t xml:space="preserve">·</t>
    </r>
    <r>
      <rPr>
        <sz val="10"/>
        <rFont val="Noto Sans CJK SC"/>
        <family val="2"/>
      </rPr>
      <t xml:space="preserve">모바일 북마크 바로 아래에 폴더 없이 흩어져 있는 북마크를 정리 대상으로 삼고</t>
    </r>
    <r>
      <rPr>
        <sz val="10"/>
        <rFont val="맑은 고딕"/>
        <family val="0"/>
        <charset val="1"/>
      </rPr>
      <t xml:space="preserve">, </t>
    </r>
    <r>
      <rPr>
        <sz val="10"/>
        <rFont val="Noto Sans CJK SC"/>
        <family val="2"/>
      </rPr>
      <t xml:space="preserve">사용자가 만든 폴더</t>
    </r>
    <r>
      <rPr>
        <sz val="10"/>
        <rFont val="맑은 고딕"/>
        <family val="0"/>
        <charset val="1"/>
      </rPr>
      <t xml:space="preserve">·</t>
    </r>
    <r>
      <rPr>
        <sz val="10"/>
        <rFont val="Noto Sans CJK SC"/>
        <family val="2"/>
      </rPr>
      <t xml:space="preserve">최근 </t>
    </r>
    <r>
      <rPr>
        <sz val="10"/>
        <rFont val="맑은 고딕"/>
        <family val="0"/>
        <charset val="1"/>
      </rPr>
      <t xml:space="preserve">30</t>
    </r>
    <r>
      <rPr>
        <sz val="10"/>
        <rFont val="Noto Sans CJK SC"/>
        <family val="2"/>
      </rPr>
      <t xml:space="preserve">일 안에 북마크바에서 연 북마크</t>
    </r>
    <r>
      <rPr>
        <sz val="10"/>
        <rFont val="맑은 고딕"/>
        <family val="0"/>
        <charset val="1"/>
      </rPr>
      <t xml:space="preserve">(dateLastUsed </t>
    </r>
    <r>
      <rPr>
        <sz val="10"/>
        <rFont val="Noto Sans CJK SC"/>
        <family val="2"/>
      </rPr>
      <t xml:space="preserve">기준</t>
    </r>
    <r>
      <rPr>
        <sz val="10"/>
        <rFont val="맑은 고딕"/>
        <family val="0"/>
        <charset val="1"/>
      </rPr>
      <t xml:space="preserve">)·javascript:</t>
    </r>
    <r>
      <rPr>
        <sz val="10"/>
        <rFont val="Noto Sans CJK SC"/>
        <family val="2"/>
      </rPr>
      <t xml:space="preserve">와 </t>
    </r>
    <r>
      <rPr>
        <sz val="10"/>
        <rFont val="맑은 고딕"/>
        <family val="0"/>
        <charset val="1"/>
      </rPr>
      <t xml:space="preserve">chrome:// </t>
    </r>
    <r>
      <rPr>
        <sz val="10"/>
        <rFont val="Noto Sans CJK SC"/>
        <family val="2"/>
      </rPr>
      <t xml:space="preserve">주소</t>
    </r>
    <r>
      <rPr>
        <sz val="10"/>
        <rFont val="맑은 고딕"/>
        <family val="0"/>
        <charset val="1"/>
      </rPr>
      <t xml:space="preserve">·</t>
    </r>
    <r>
      <rPr>
        <sz val="10"/>
        <rFont val="Noto Sans CJK SC"/>
        <family val="2"/>
      </rPr>
      <t xml:space="preserve">직접 옮긴 북마크는 뺀다</t>
    </r>
    <r>
      <rPr>
        <sz val="10"/>
        <rFont val="맑은 고딕"/>
        <family val="0"/>
        <charset val="1"/>
      </rPr>
      <t xml:space="preserve">. </t>
    </r>
    <r>
      <rPr>
        <sz val="10"/>
        <rFont val="Noto Sans CJK SC"/>
        <family val="2"/>
      </rPr>
      <t xml:space="preserve">단</t>
    </r>
    <r>
      <rPr>
        <sz val="10"/>
        <rFont val="맑은 고딕"/>
        <family val="0"/>
        <charset val="1"/>
      </rPr>
      <t xml:space="preserve">, </t>
    </r>
    <r>
      <rPr>
        <sz val="10"/>
        <rFont val="Noto Sans CJK SC"/>
        <family val="2"/>
      </rPr>
      <t xml:space="preserve">크롬의 가져오기 폴더</t>
    </r>
    <r>
      <rPr>
        <sz val="10"/>
        <rFont val="맑은 고딕"/>
        <family val="0"/>
        <charset val="1"/>
      </rPr>
      <t xml:space="preserve">(</t>
    </r>
    <r>
      <rPr>
        <sz val="10"/>
        <rFont val="Noto Sans CJK SC"/>
        <family val="2"/>
      </rPr>
      <t xml:space="preserve">북마크바</t>
    </r>
    <r>
      <rPr>
        <sz val="10"/>
        <rFont val="맑은 고딕"/>
        <family val="0"/>
        <charset val="1"/>
      </rPr>
      <t xml:space="preserve">·</t>
    </r>
    <r>
      <rPr>
        <sz val="10"/>
        <rFont val="Noto Sans CJK SC"/>
        <family val="2"/>
      </rPr>
      <t xml:space="preserve">기타 북마크</t>
    </r>
    <r>
      <rPr>
        <sz val="10"/>
        <rFont val="맑은 고딕"/>
        <family val="0"/>
        <charset val="1"/>
      </rPr>
      <t xml:space="preserve">·</t>
    </r>
    <r>
      <rPr>
        <sz val="10"/>
        <rFont val="Noto Sans CJK SC"/>
        <family val="2"/>
      </rPr>
      <t xml:space="preserve">모바일 북마크 바로 아래에 있고 이름이 목록에 있는 폴더</t>
    </r>
    <r>
      <rPr>
        <sz val="10"/>
        <rFont val="맑은 고딕"/>
        <family val="0"/>
        <charset val="1"/>
      </rPr>
      <t xml:space="preserve">)</t>
    </r>
    <r>
      <rPr>
        <sz val="10"/>
        <rFont val="Noto Sans CJK SC"/>
        <family val="2"/>
      </rPr>
      <t xml:space="preserve">는 사용자가 만든 폴더로 보지 않고</t>
    </r>
    <r>
      <rPr>
        <sz val="10"/>
        <rFont val="맑은 고딕"/>
        <family val="0"/>
        <charset val="1"/>
      </rPr>
      <t xml:space="preserve">, </t>
    </r>
    <r>
      <rPr>
        <sz val="10"/>
        <rFont val="Noto Sans CJK SC"/>
        <family val="2"/>
      </rPr>
      <t xml:space="preserve">그 바로 아래의 북마크를 정리 대상에 넣는다</t>
    </r>
    <r>
      <rPr>
        <sz val="10"/>
        <rFont val="맑은 고딕"/>
        <family val="0"/>
        <charset val="1"/>
      </rPr>
      <t xml:space="preserve">.</t>
    </r>
  </si>
  <si>
    <t xml:space="preserve">수정(v9): 북마크바를 기본 정리 대상에 포함(크롬 별 버튼의 기본 저장 위치가 북마크바). 요즘 쓰는 북마크는 폴더에 넣지 않고 카테고리 개수에도 세지 않음 / 확정(v5): 기타 북마크가 계정용·이 PC 전용 두 개면 한쪽(동기화되는 쪽)만 정리 대상으로 삼음. 이 PC 전용 북마크를 계정 쪽으로 옮기면 사용자 모르게 계정에 올라가기 때문
확정(v12, 10월 7일): 크롬 가져오기 폴더는 사용자 폴더로 보지 않는다. 실행 확인: 북마크가 없는 새 프로필에 HTML을 가져오면 북마크바 항목은 북마크바에 그대로, 나머지는 기타 북마크가 아니라 북마크바 맨 끝의 "가져온 북마크" 폴더에 들어감. 다른 브라우저에서 옮겨 온 사용자도 같은 폴더를 가짐. 크롬이 가져오기 폴더에 따로 표시를 남기지 않아 폴더 이름으로 판단함. 이름 목록: "가져온 북마크"(한국어 크롬에서 HTML 가져오기로 확인, 10월 7일). 확인 필요: 영어 크롬의 "Imported", 다른 브라우저에서 가져온 경우의 "Imported From …"·"…에서 가져옴", 같은 이름이 이미 있을 때 뒤에 붙는 " (1)" 같은 번호. 가져오기 폴더 안의 폴더는 사용자 폴더로 봄. 사용자가 같은 이름의 폴더를 직접 만들었으면 그 폴더도 대상이 되는 한계가 있음(첫 정리 카드에서 미리 보여 주고 되돌릴 수 있음). 화면에서는 가져오기 폴더도 보통 앱 폴더로 표시(F03-01)</t>
  </si>
  <si>
    <t xml:space="preserve">F05-05</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</si>
  <si>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정리 대상이 </t>
    </r>
    <r>
      <rPr>
        <sz val="10"/>
        <rFont val="맑은 고딕"/>
        <family val="0"/>
        <charset val="1"/>
      </rPr>
      <t xml:space="preserve">10~29</t>
    </r>
    <r>
      <rPr>
        <sz val="10"/>
        <rFont val="Noto Sans CJK SC"/>
        <family val="2"/>
      </rPr>
      <t xml:space="preserve">개면 최대 </t>
    </r>
    <r>
      <rPr>
        <sz val="10"/>
        <rFont val="맑은 고딕"/>
        <family val="0"/>
        <charset val="1"/>
      </rPr>
      <t xml:space="preserve">3</t>
    </r>
    <r>
      <rPr>
        <sz val="10"/>
        <rFont val="Noto Sans CJK SC"/>
        <family val="2"/>
      </rPr>
      <t xml:space="preserve">개</t>
    </r>
    <r>
      <rPr>
        <sz val="10"/>
        <rFont val="맑은 고딕"/>
        <family val="0"/>
        <charset val="1"/>
      </rPr>
      <t xml:space="preserve">, 30~59</t>
    </r>
    <r>
      <rPr>
        <sz val="10"/>
        <rFont val="Noto Sans CJK SC"/>
        <family val="2"/>
      </rPr>
      <t xml:space="preserve">개면 최대 </t>
    </r>
    <r>
      <rPr>
        <sz val="10"/>
        <rFont val="맑은 고딕"/>
        <family val="0"/>
        <charset val="1"/>
      </rPr>
      <t xml:space="preserve">4</t>
    </r>
    <r>
      <rPr>
        <sz val="10"/>
        <rFont val="Noto Sans CJK SC"/>
        <family val="2"/>
      </rPr>
      <t xml:space="preserve">개</t>
    </r>
    <r>
      <rPr>
        <sz val="10"/>
        <rFont val="맑은 고딕"/>
        <family val="0"/>
        <charset val="1"/>
      </rPr>
      <t xml:space="preserve">, 60~99</t>
    </r>
    <r>
      <rPr>
        <sz val="10"/>
        <rFont val="Noto Sans CJK SC"/>
        <family val="2"/>
      </rPr>
      <t xml:space="preserve">개면 최대 </t>
    </r>
    <r>
      <rPr>
        <sz val="10"/>
        <rFont val="맑은 고딕"/>
        <family val="0"/>
        <charset val="1"/>
      </rPr>
      <t xml:space="preserve">5</t>
    </r>
    <r>
      <rPr>
        <sz val="10"/>
        <rFont val="Noto Sans CJK SC"/>
        <family val="2"/>
      </rPr>
      <t xml:space="preserve">개</t>
    </r>
    <r>
      <rPr>
        <sz val="10"/>
        <rFont val="맑은 고딕"/>
        <family val="0"/>
        <charset val="1"/>
      </rPr>
      <t xml:space="preserve">, 100</t>
    </r>
    <r>
      <rPr>
        <sz val="10"/>
        <rFont val="Noto Sans CJK SC"/>
        <family val="2"/>
      </rPr>
      <t xml:space="preserve">개 이상이면 최대 </t>
    </r>
    <r>
      <rPr>
        <sz val="10"/>
        <rFont val="맑은 고딕"/>
        <family val="0"/>
        <charset val="1"/>
      </rPr>
      <t xml:space="preserve">6</t>
    </r>
    <r>
      <rPr>
        <sz val="10"/>
        <rFont val="Noto Sans CJK SC"/>
        <family val="2"/>
      </rPr>
      <t xml:space="preserve">개의 폴더를 북마크가 많은 카테고리부터 계획한다</t>
    </r>
    <r>
      <rPr>
        <sz val="10"/>
        <rFont val="맑은 고딕"/>
        <family val="0"/>
        <charset val="1"/>
      </rPr>
      <t xml:space="preserve">.</t>
    </r>
  </si>
  <si>
    <t xml:space="preserve">F05-06</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</si>
  <si>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북마크가 </t>
    </r>
    <r>
      <rPr>
        <sz val="10"/>
        <rFont val="맑은 고딕"/>
        <family val="0"/>
        <charset val="1"/>
      </rPr>
      <t xml:space="preserve">3</t>
    </r>
    <r>
      <rPr>
        <sz val="10"/>
        <rFont val="Noto Sans CJK SC"/>
        <family val="2"/>
      </rPr>
      <t xml:space="preserve">개 미만인 카테고리를 폴더로 계획하지 않고</t>
    </r>
    <r>
      <rPr>
        <sz val="10"/>
        <rFont val="맑은 고딕"/>
        <family val="0"/>
        <charset val="1"/>
      </rPr>
      <t xml:space="preserve">, "</t>
    </r>
    <r>
      <rPr>
        <sz val="10"/>
        <rFont val="Noto Sans CJK SC"/>
        <family val="2"/>
      </rPr>
      <t xml:space="preserve">기타</t>
    </r>
    <r>
      <rPr>
        <sz val="10"/>
        <rFont val="맑은 고딕"/>
        <family val="0"/>
        <charset val="1"/>
      </rPr>
      <t xml:space="preserve">" </t>
    </r>
    <r>
      <rPr>
        <sz val="10"/>
        <rFont val="Noto Sans CJK SC"/>
        <family val="2"/>
      </rPr>
      <t xml:space="preserve">폴더를 만들지 않는다</t>
    </r>
    <r>
      <rPr>
        <sz val="10"/>
        <rFont val="맑은 고딕"/>
        <family val="0"/>
        <charset val="1"/>
      </rPr>
      <t xml:space="preserve">.</t>
    </r>
  </si>
  <si>
    <t xml:space="preserve">F05-07</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</si>
  <si>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같은 북마크 목록과 같은 분류표에 대해 항상 같은 계획을 돌려주고</t>
    </r>
    <r>
      <rPr>
        <sz val="10"/>
        <rFont val="맑은 고딕"/>
        <family val="0"/>
        <charset val="1"/>
      </rPr>
      <t xml:space="preserve">, </t>
    </r>
    <r>
      <rPr>
        <sz val="10"/>
        <rFont val="Noto Sans CJK SC"/>
        <family val="2"/>
      </rPr>
      <t xml:space="preserve">개수가 같은 카테고리는 </t>
    </r>
    <r>
      <rPr>
        <sz val="10"/>
        <rFont val="맑은 고딕"/>
        <family val="0"/>
        <charset val="1"/>
      </rPr>
      <t xml:space="preserve">categories.json</t>
    </r>
    <r>
      <rPr>
        <sz val="10"/>
        <rFont val="Noto Sans CJK SC"/>
        <family val="2"/>
      </rPr>
      <t xml:space="preserve">에 적힌 순서로 고른다</t>
    </r>
    <r>
      <rPr>
        <sz val="10"/>
        <rFont val="맑은 고딕"/>
        <family val="0"/>
        <charset val="1"/>
      </rPr>
      <t xml:space="preserve">.</t>
    </r>
  </si>
  <si>
    <t xml:space="preserve">제안: 동점 처리 기준</t>
  </si>
  <si>
    <t xml:space="preserve">F05-08</t>
  </si>
  <si>
    <r>
      <rPr>
        <sz val="10"/>
        <rFont val="맑은 고딕"/>
        <family val="0"/>
        <charset val="1"/>
      </rPr>
      <t xml:space="preserve">IF </t>
    </r>
    <r>
      <rPr>
        <sz val="10"/>
        <rFont val="Noto Sans CJK SC"/>
        <family val="2"/>
      </rPr>
      <t xml:space="preserve">북마크가 어느 단계에도 맞지 않으면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분류 안 됨</t>
    </r>
    <r>
      <rPr>
        <sz val="10"/>
        <rFont val="맑은 고딕"/>
        <family val="0"/>
        <charset val="1"/>
      </rPr>
      <t xml:space="preserve">"</t>
    </r>
    <r>
      <rPr>
        <sz val="10"/>
        <rFont val="Noto Sans CJK SC"/>
        <family val="2"/>
      </rPr>
      <t xml:space="preserve">으로 표시하고 폴더 계획에 넣지 않는다</t>
    </r>
    <r>
      <rPr>
        <sz val="10"/>
        <rFont val="맑은 고딕"/>
        <family val="0"/>
        <charset val="1"/>
      </rPr>
      <t xml:space="preserve">.</t>
    </r>
  </si>
  <si>
    <t xml:space="preserve">F05-09</t>
  </si>
  <si>
    <r>
      <rPr>
        <sz val="10"/>
        <rFont val="맑은 고딕"/>
        <family val="0"/>
        <charset val="1"/>
      </rPr>
      <t xml:space="preserve">IF </t>
    </r>
    <r>
      <rPr>
        <sz val="10"/>
        <rFont val="Noto Sans CJK SC"/>
        <family val="2"/>
      </rPr>
      <t xml:space="preserve">정리 대상이 </t>
    </r>
    <r>
      <rPr>
        <sz val="10"/>
        <rFont val="맑은 고딕"/>
        <family val="0"/>
        <charset val="1"/>
      </rPr>
      <t xml:space="preserve">10</t>
    </r>
    <r>
      <rPr>
        <sz val="10"/>
        <rFont val="Noto Sans CJK SC"/>
        <family val="2"/>
      </rPr>
      <t xml:space="preserve">개 미만이거나 </t>
    </r>
    <r>
      <rPr>
        <sz val="10"/>
        <rFont val="맑은 고딕"/>
        <family val="0"/>
        <charset val="1"/>
      </rPr>
      <t xml:space="preserve">3</t>
    </r>
    <r>
      <rPr>
        <sz val="10"/>
        <rFont val="Noto Sans CJK SC"/>
        <family val="2"/>
      </rPr>
      <t xml:space="preserve">개 이상 모인 카테고리가 하나도 없으면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폴더 계획 대신 고정 제안을 돌려준다</t>
    </r>
    <r>
      <rPr>
        <sz val="10"/>
        <rFont val="맑은 고딕"/>
        <family val="0"/>
        <charset val="1"/>
      </rPr>
      <t xml:space="preserve">.</t>
    </r>
  </si>
  <si>
    <t xml:space="preserve">F06-01</t>
  </si>
  <si>
    <r>
      <rPr>
        <sz val="10"/>
        <rFont val="맑은 고딕"/>
        <family val="0"/>
        <charset val="1"/>
      </rPr>
      <t xml:space="preserve">WHEN </t>
    </r>
    <r>
      <rPr>
        <sz val="10"/>
        <rFont val="Noto Sans CJK SC"/>
        <family val="2"/>
      </rPr>
      <t xml:space="preserve">사용자가 설치 후 처음 새 탭을 열면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폴더별 개수와 </t>
    </r>
    <r>
      <rPr>
        <sz val="10"/>
        <rFont val="맑은 고딕"/>
        <family val="0"/>
        <charset val="1"/>
      </rPr>
      <t xml:space="preserve">"</t>
    </r>
    <r>
      <rPr>
        <sz val="10"/>
        <rFont val="Noto Sans CJK SC"/>
        <family val="2"/>
      </rPr>
      <t xml:space="preserve">나머지 </t>
    </r>
    <r>
      <rPr>
        <sz val="10"/>
        <rFont val="맑은 고딕"/>
        <family val="0"/>
        <charset val="1"/>
      </rPr>
      <t xml:space="preserve">N</t>
    </r>
    <r>
      <rPr>
        <sz val="10"/>
        <rFont val="Noto Sans CJK SC"/>
        <family val="2"/>
      </rPr>
      <t xml:space="preserve">개는 그대로</t>
    </r>
    <r>
      <rPr>
        <sz val="10"/>
        <rFont val="맑은 고딕"/>
        <family val="0"/>
        <charset val="1"/>
      </rPr>
      <t xml:space="preserve">", [</t>
    </r>
    <r>
      <rPr>
        <sz val="10"/>
        <rFont val="Noto Sans CJK SC"/>
        <family val="2"/>
      </rPr>
      <t xml:space="preserve">정리하기</t>
    </r>
    <r>
      <rPr>
        <sz val="10"/>
        <rFont val="맑은 고딕"/>
        <family val="0"/>
        <charset val="1"/>
      </rPr>
      <t xml:space="preserve">]·[</t>
    </r>
    <r>
      <rPr>
        <sz val="10"/>
        <rFont val="Noto Sans CJK SC"/>
        <family val="2"/>
      </rPr>
      <t xml:space="preserve">자세히 보기</t>
    </r>
    <r>
      <rPr>
        <sz val="10"/>
        <rFont val="맑은 고딕"/>
        <family val="0"/>
        <charset val="1"/>
      </rPr>
      <t xml:space="preserve">]·[</t>
    </r>
    <r>
      <rPr>
        <sz val="10"/>
        <rFont val="Noto Sans CJK SC"/>
        <family val="2"/>
      </rPr>
      <t xml:space="preserve">나중에</t>
    </r>
    <r>
      <rPr>
        <sz val="10"/>
        <rFont val="맑은 고딕"/>
        <family val="0"/>
        <charset val="1"/>
      </rPr>
      <t xml:space="preserve">] </t>
    </r>
    <r>
      <rPr>
        <sz val="10"/>
        <rFont val="Noto Sans CJK SC"/>
        <family val="2"/>
      </rPr>
      <t xml:space="preserve">버튼이 있는 첫 정리 카드를 표시한다</t>
    </r>
    <r>
      <rPr>
        <sz val="10"/>
        <rFont val="맑은 고딕"/>
        <family val="0"/>
        <charset val="1"/>
      </rPr>
      <t xml:space="preserve">.</t>
    </r>
  </si>
  <si>
    <t xml:space="preserve">2-10, 3-4</t>
  </si>
  <si>
    <t xml:space="preserve">수정(v9): 카드 보조 문구는 "직접 만든 폴더와 북마크바에서 요즘 쓰는 북마크는 그대로 둬요"</t>
  </si>
  <si>
    <t xml:space="preserve">F06-02</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</si>
  <si>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사용자가 </t>
    </r>
    <r>
      <rPr>
        <sz val="10"/>
        <rFont val="맑은 고딕"/>
        <family val="0"/>
        <charset val="1"/>
      </rPr>
      <t xml:space="preserve">[</t>
    </r>
    <r>
      <rPr>
        <sz val="10"/>
        <rFont val="Noto Sans CJK SC"/>
        <family val="2"/>
      </rPr>
      <t xml:space="preserve">정리하기</t>
    </r>
    <r>
      <rPr>
        <sz val="10"/>
        <rFont val="맑은 고딕"/>
        <family val="0"/>
        <charset val="1"/>
      </rPr>
      <t xml:space="preserve">]</t>
    </r>
    <r>
      <rPr>
        <sz val="10"/>
        <rFont val="Noto Sans CJK SC"/>
        <family val="2"/>
      </rPr>
      <t xml:space="preserve">를 누르기 전에는 크롬 북마크를 하나도 바꾸지 않는다</t>
    </r>
    <r>
      <rPr>
        <sz val="10"/>
        <rFont val="맑은 고딕"/>
        <family val="0"/>
        <charset val="1"/>
      </rPr>
      <t xml:space="preserve">.</t>
    </r>
  </si>
  <si>
    <t xml:space="preserve">F06-03</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</si>
  <si>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자세히 보기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정리 창은 </t>
    </r>
    <r>
      <rPr>
        <sz val="10"/>
        <rFont val="맑은 고딕"/>
        <family val="0"/>
        <charset val="1"/>
      </rPr>
      <t xml:space="preserve">SHALL </t>
    </r>
    <r>
      <rPr>
        <sz val="10"/>
        <rFont val="Noto Sans CJK SC"/>
        <family val="2"/>
      </rPr>
      <t xml:space="preserve">폴더별로 분류 근거와 들어갈 북마크 목록을 표시한다</t>
    </r>
    <r>
      <rPr>
        <sz val="10"/>
        <rFont val="맑은 고딕"/>
        <family val="0"/>
        <charset val="1"/>
      </rPr>
      <t xml:space="preserve">.</t>
    </r>
  </si>
  <si>
    <t xml:space="preserve">정리 창</t>
  </si>
  <si>
    <t xml:space="preserve">F06-04</t>
  </si>
  <si>
    <r>
      <rPr>
        <sz val="10"/>
        <rFont val="맑은 고딕"/>
        <family val="0"/>
        <charset val="1"/>
      </rPr>
      <t xml:space="preserve">WHEN </t>
    </r>
    <r>
      <rPr>
        <sz val="10"/>
        <rFont val="Noto Sans CJK SC"/>
        <family val="2"/>
      </rPr>
      <t xml:space="preserve">사용자가 자세히 보기에서 폴더 빼기</t>
    </r>
    <r>
      <rPr>
        <sz val="10"/>
        <rFont val="맑은 고딕"/>
        <family val="0"/>
        <charset val="1"/>
      </rPr>
      <t xml:space="preserve">, </t>
    </r>
    <r>
      <rPr>
        <sz val="10"/>
        <rFont val="Noto Sans CJK SC"/>
        <family val="2"/>
      </rPr>
      <t xml:space="preserve">폴더 이름 바꾸기</t>
    </r>
    <r>
      <rPr>
        <sz val="10"/>
        <rFont val="맑은 고딕"/>
        <family val="0"/>
        <charset val="1"/>
      </rPr>
      <t xml:space="preserve">, </t>
    </r>
    <r>
      <rPr>
        <sz val="10"/>
        <rFont val="Noto Sans CJK SC"/>
        <family val="2"/>
      </rPr>
      <t xml:space="preserve">북마크별 폴더 바꾸기</t>
    </r>
    <r>
      <rPr>
        <sz val="10"/>
        <rFont val="맑은 고딕"/>
        <family val="0"/>
        <charset val="1"/>
      </rPr>
      <t xml:space="preserve">, </t>
    </r>
    <r>
      <rPr>
        <sz val="10"/>
        <rFont val="Noto Sans CJK SC"/>
        <family val="2"/>
      </rPr>
      <t xml:space="preserve">북마크바 제외</t>
    </r>
    <r>
      <rPr>
        <sz val="10"/>
        <rFont val="맑은 고딕"/>
        <family val="0"/>
        <charset val="1"/>
      </rPr>
      <t xml:space="preserve">·</t>
    </r>
    <r>
      <rPr>
        <sz val="10"/>
        <rFont val="Noto Sans CJK SC"/>
        <family val="2"/>
      </rPr>
      <t xml:space="preserve">사용자 폴더 포함을 하면 </t>
    </r>
    <r>
      <rPr>
        <sz val="10"/>
        <rFont val="맑은 고딕"/>
        <family val="0"/>
        <charset val="1"/>
      </rPr>
      <t xml:space="preserve">THE </t>
    </r>
    <r>
      <rPr>
        <sz val="10"/>
        <rFont val="Noto Sans CJK SC"/>
        <family val="2"/>
      </rPr>
      <t xml:space="preserve">정리 창은 </t>
    </r>
    <r>
      <rPr>
        <sz val="10"/>
        <rFont val="맑은 고딕"/>
        <family val="0"/>
        <charset val="1"/>
      </rPr>
      <t xml:space="preserve">SHALL </t>
    </r>
    <r>
      <rPr>
        <sz val="10"/>
        <rFont val="Noto Sans CJK SC"/>
        <family val="2"/>
      </rPr>
      <t xml:space="preserve">계획과 화면의 개수만 바꾸고 크롬 북마크는 바꾸지 않는다</t>
    </r>
    <r>
      <rPr>
        <sz val="10"/>
        <rFont val="맑은 고딕"/>
        <family val="0"/>
        <charset val="1"/>
      </rPr>
      <t xml:space="preserve">.</t>
    </r>
  </si>
  <si>
    <t xml:space="preserve">수정(v9): 북마크바가 기본 포함으로 바뀌어 체크의 뜻이 "제외"로 바뀜</t>
  </si>
  <si>
    <t xml:space="preserve">F06-05</t>
  </si>
  <si>
    <r>
      <rPr>
        <sz val="10"/>
        <rFont val="맑은 고딕"/>
        <family val="0"/>
        <charset val="1"/>
      </rPr>
      <t xml:space="preserve">THE </t>
    </r>
    <r>
      <rPr>
        <sz val="10"/>
        <rFont val="Noto Sans CJK SC"/>
        <family val="2"/>
      </rPr>
      <t xml:space="preserve">정리 창은 </t>
    </r>
    <r>
      <rPr>
        <sz val="10"/>
        <rFont val="맑은 고딕"/>
        <family val="0"/>
        <charset val="1"/>
      </rPr>
      <t xml:space="preserve">SHALL </t>
    </r>
    <r>
      <rPr>
        <sz val="10"/>
        <rFont val="Noto Sans CJK SC"/>
        <family val="2"/>
      </rPr>
      <t xml:space="preserve">제목 키워드 단계에서 분류된 북마크에 </t>
    </r>
    <r>
      <rPr>
        <sz val="10"/>
        <rFont val="맑은 고딕"/>
        <family val="0"/>
        <charset val="1"/>
      </rPr>
      <t xml:space="preserve">"</t>
    </r>
    <r>
      <rPr>
        <sz val="10"/>
        <rFont val="Noto Sans CJK SC"/>
        <family val="2"/>
      </rPr>
      <t xml:space="preserve">확인 필요</t>
    </r>
    <r>
      <rPr>
        <sz val="10"/>
        <rFont val="맑은 고딕"/>
        <family val="0"/>
        <charset val="1"/>
      </rPr>
      <t xml:space="preserve">" </t>
    </r>
    <r>
      <rPr>
        <sz val="10"/>
        <rFont val="Noto Sans CJK SC"/>
        <family val="2"/>
      </rPr>
      <t xml:space="preserve">표시를 붙인다</t>
    </r>
    <r>
      <rPr>
        <sz val="10"/>
        <rFont val="맑은 고딕"/>
        <family val="0"/>
        <charset val="1"/>
      </rPr>
      <t xml:space="preserve">.</t>
    </r>
  </si>
  <si>
    <t xml:space="preserve">F06-06</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</si>
  <si>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나중에</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카드를 닫고</t>
    </r>
    <r>
      <rPr>
        <sz val="10"/>
        <rFont val="맑은 고딕"/>
        <family val="0"/>
        <charset val="1"/>
      </rPr>
      <t xml:space="preserve">, </t>
    </r>
    <r>
      <rPr>
        <sz val="10"/>
        <rFont val="Noto Sans CJK SC"/>
        <family val="2"/>
      </rPr>
      <t xml:space="preserve">이후 헤더의 </t>
    </r>
    <r>
      <rPr>
        <sz val="10"/>
        <rFont val="맑은 고딕"/>
        <family val="0"/>
        <charset val="1"/>
      </rPr>
      <t xml:space="preserve">[</t>
    </r>
    <r>
      <rPr>
        <sz val="10"/>
        <rFont val="Noto Sans CJK SC"/>
        <family val="2"/>
      </rPr>
      <t xml:space="preserve">정리하기</t>
    </r>
    <r>
      <rPr>
        <sz val="10"/>
        <rFont val="맑은 고딕"/>
        <family val="0"/>
        <charset val="1"/>
      </rPr>
      <t xml:space="preserve">] </t>
    </r>
    <r>
      <rPr>
        <sz val="10"/>
        <rFont val="Noto Sans CJK SC"/>
        <family val="2"/>
      </rPr>
      <t xml:space="preserve">버튼으로 같은 카드를 다시 열 수 있게 한다</t>
    </r>
    <r>
      <rPr>
        <sz val="10"/>
        <rFont val="맑은 고딕"/>
        <family val="0"/>
        <charset val="1"/>
      </rPr>
      <t xml:space="preserve">.</t>
    </r>
  </si>
  <si>
    <t xml:space="preserve">확정(v5) · 실행 확인: 새 북마크가 없어도 헤더에 [정리하기] 버튼을 남겨 두고, 누르면 카드가 다시 열림</t>
  </si>
  <si>
    <t xml:space="preserve">F06-07</t>
  </si>
  <si>
    <r>
      <rPr>
        <sz val="10"/>
        <rFont val="맑은 고딕"/>
        <family val="0"/>
        <charset val="1"/>
      </rPr>
      <t xml:space="preserve">IF </t>
    </r>
    <r>
      <rPr>
        <sz val="10"/>
        <rFont val="Noto Sans CJK SC"/>
        <family val="2"/>
      </rPr>
      <t xml:space="preserve">폴더 계획 대신 고정 제안이 돌아오면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첫 정리 카드 대신 고정 제안 카드</t>
    </r>
    <r>
      <rPr>
        <sz val="10"/>
        <rFont val="맑은 고딕"/>
        <family val="0"/>
        <charset val="1"/>
      </rPr>
      <t xml:space="preserve">(F09)</t>
    </r>
    <r>
      <rPr>
        <sz val="10"/>
        <rFont val="Noto Sans CJK SC"/>
        <family val="2"/>
      </rPr>
      <t xml:space="preserve">를 표시한다</t>
    </r>
    <r>
      <rPr>
        <sz val="10"/>
        <rFont val="맑은 고딕"/>
        <family val="0"/>
        <charset val="1"/>
      </rPr>
      <t xml:space="preserve">.</t>
    </r>
  </si>
  <si>
    <t xml:space="preserve">F07-01</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</si>
  <si>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정리하기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북마크바</t>
    </r>
    <r>
      <rPr>
        <sz val="10"/>
        <rFont val="맑은 고딕"/>
        <family val="0"/>
        <charset val="1"/>
      </rPr>
      <t xml:space="preserve">(</t>
    </r>
    <r>
      <rPr>
        <sz val="10"/>
        <rFont val="Noto Sans CJK SC"/>
        <family val="2"/>
      </rPr>
      <t xml:space="preserve">두 개면 동기화되는 쪽</t>
    </r>
    <r>
      <rPr>
        <sz val="10"/>
        <rFont val="맑은 고딕"/>
        <family val="0"/>
        <charset val="1"/>
      </rPr>
      <t xml:space="preserve">) </t>
    </r>
    <r>
      <rPr>
        <sz val="10"/>
        <rFont val="Noto Sans CJK SC"/>
        <family val="2"/>
      </rPr>
      <t xml:space="preserve">맨 뒤에 계획된 폴더를 만들고</t>
    </r>
    <r>
      <rPr>
        <sz val="10"/>
        <rFont val="맑은 고딕"/>
        <family val="0"/>
        <charset val="1"/>
      </rPr>
      <t xml:space="preserve">, </t>
    </r>
    <r>
      <rPr>
        <sz val="10"/>
        <rFont val="Noto Sans CJK SC"/>
        <family val="2"/>
      </rPr>
      <t xml:space="preserve">북마크바와 기타 북마크의 정리 대상 북마크를 옮긴다</t>
    </r>
    <r>
      <rPr>
        <sz val="10"/>
        <rFont val="맑은 고딕"/>
        <family val="0"/>
        <charset val="1"/>
      </rPr>
      <t xml:space="preserve">.</t>
    </r>
  </si>
  <si>
    <t xml:space="preserve">2-12, 3-4</t>
  </si>
  <si>
    <t xml:space="preserve">수정(v9): 폴더 위치를 기타 북마크 → 북마크바 맨 뒤로 변경. 북마크바가 두 개로 보이는 경우는 개발 첫 주에 확인</t>
  </si>
  <si>
    <t xml:space="preserve">F07-02</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</si>
  <si>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정리할 때마다 북마크별 원래 폴더</t>
    </r>
    <r>
      <rPr>
        <sz val="10"/>
        <rFont val="맑은 고딕"/>
        <family val="0"/>
        <charset val="1"/>
      </rPr>
      <t xml:space="preserve">·</t>
    </r>
    <r>
      <rPr>
        <sz val="10"/>
        <rFont val="Noto Sans CJK SC"/>
        <family val="2"/>
      </rPr>
      <t xml:space="preserve">원래 순서</t>
    </r>
    <r>
      <rPr>
        <sz val="10"/>
        <rFont val="맑은 고딕"/>
        <family val="0"/>
        <charset val="1"/>
      </rPr>
      <t xml:space="preserve">·</t>
    </r>
    <r>
      <rPr>
        <sz val="10"/>
        <rFont val="Noto Sans CJK SC"/>
        <family val="2"/>
      </rPr>
      <t xml:space="preserve">옮긴 폴더를 </t>
    </r>
    <r>
      <rPr>
        <sz val="10"/>
        <rFont val="맑은 고딕"/>
        <family val="0"/>
        <charset val="1"/>
      </rPr>
      <t xml:space="preserve">history</t>
    </r>
    <r>
      <rPr>
        <sz val="10"/>
        <rFont val="Noto Sans CJK SC"/>
        <family val="2"/>
      </rPr>
      <t xml:space="preserve">에 저장하고</t>
    </r>
    <r>
      <rPr>
        <sz val="10"/>
        <rFont val="맑은 고딕"/>
        <family val="0"/>
        <charset val="1"/>
      </rPr>
      <t xml:space="preserve">, </t>
    </r>
    <r>
      <rPr>
        <sz val="10"/>
        <rFont val="Noto Sans CJK SC"/>
        <family val="2"/>
      </rPr>
      <t xml:space="preserve">원래 순서는 첫 북마크를 옮기기 전에 원래 폴더의 전체 순서</t>
    </r>
    <r>
      <rPr>
        <sz val="10"/>
        <rFont val="맑은 고딕"/>
        <family val="0"/>
        <charset val="1"/>
      </rPr>
      <t xml:space="preserve">(ID </t>
    </r>
    <r>
      <rPr>
        <sz val="10"/>
        <rFont val="Noto Sans CJK SC"/>
        <family val="2"/>
      </rPr>
      <t xml:space="preserve">목록</t>
    </r>
    <r>
      <rPr>
        <sz val="10"/>
        <rFont val="맑은 고딕"/>
        <family val="0"/>
        <charset val="1"/>
      </rPr>
      <t xml:space="preserve">)</t>
    </r>
    <r>
      <rPr>
        <sz val="10"/>
        <rFont val="Noto Sans CJK SC"/>
        <family val="2"/>
      </rPr>
      <t xml:space="preserve">로 한꺼번에 읽어 함께 저장한다</t>
    </r>
    <r>
      <rPr>
        <sz val="10"/>
        <rFont val="맑은 고딕"/>
        <family val="0"/>
        <charset val="1"/>
      </rPr>
      <t xml:space="preserve">. </t>
    </r>
    <r>
      <rPr>
        <sz val="10"/>
        <rFont val="Noto Sans CJK SC"/>
        <family val="2"/>
      </rPr>
      <t xml:space="preserve">정리 이유는 저장하지 않는다</t>
    </r>
    <r>
      <rPr>
        <sz val="10"/>
        <rFont val="맑은 고딕"/>
        <family val="0"/>
        <charset val="1"/>
      </rPr>
      <t xml:space="preserve">.</t>
    </r>
  </si>
  <si>
    <t xml:space="preserve">수정(v3) · 실행 확인: 하나씩 옮기면서 그때그때 순서를 읽으면 번호가 당겨져, 되돌렸을 때 순서가 뒤섞임(x0,x1,x4,x3,x2,x5)</t>
  </si>
  <si>
    <t xml:space="preserve">F07-03</t>
  </si>
  <si>
    <r>
      <rPr>
        <sz val="10"/>
        <rFont val="맑은 고딕"/>
        <family val="0"/>
        <charset val="1"/>
      </rPr>
      <t xml:space="preserve">WHEN </t>
    </r>
    <r>
      <rPr>
        <sz val="10"/>
        <rFont val="Noto Sans CJK SC"/>
        <family val="2"/>
      </rPr>
      <t xml:space="preserve">정리 적용이 끝나면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폴더 </t>
    </r>
    <r>
      <rPr>
        <sz val="10"/>
        <rFont val="맑은 고딕"/>
        <family val="0"/>
        <charset val="1"/>
      </rPr>
      <t xml:space="preserve">N</t>
    </r>
    <r>
      <rPr>
        <sz val="10"/>
        <rFont val="Noto Sans CJK SC"/>
        <family val="2"/>
      </rPr>
      <t xml:space="preserve">개를 만들고 북마크 </t>
    </r>
    <r>
      <rPr>
        <sz val="10"/>
        <rFont val="맑은 고딕"/>
        <family val="0"/>
        <charset val="1"/>
      </rPr>
      <t xml:space="preserve">N</t>
    </r>
    <r>
      <rPr>
        <sz val="10"/>
        <rFont val="Noto Sans CJK SC"/>
        <family val="2"/>
      </rPr>
      <t xml:space="preserve">개를 넣었어요</t>
    </r>
    <r>
      <rPr>
        <sz val="10"/>
        <rFont val="맑은 고딕"/>
        <family val="0"/>
        <charset val="1"/>
      </rPr>
      <t xml:space="preserve">"</t>
    </r>
    <r>
      <rPr>
        <sz val="10"/>
        <rFont val="Noto Sans CJK SC"/>
        <family val="2"/>
      </rPr>
      <t xml:space="preserve">와 </t>
    </r>
    <r>
      <rPr>
        <sz val="10"/>
        <rFont val="맑은 고딕"/>
        <family val="0"/>
        <charset val="1"/>
      </rPr>
      <t xml:space="preserve">[</t>
    </r>
    <r>
      <rPr>
        <sz val="10"/>
        <rFont val="Noto Sans CJK SC"/>
        <family val="2"/>
      </rPr>
      <t xml:space="preserve">되돌리기</t>
    </r>
    <r>
      <rPr>
        <sz val="10"/>
        <rFont val="맑은 고딕"/>
        <family val="0"/>
        <charset val="1"/>
      </rPr>
      <t xml:space="preserve">] </t>
    </r>
    <r>
      <rPr>
        <sz val="10"/>
        <rFont val="Noto Sans CJK SC"/>
        <family val="2"/>
      </rPr>
      <t xml:space="preserve">버튼을 </t>
    </r>
    <r>
      <rPr>
        <sz val="10"/>
        <rFont val="맑은 고딕"/>
        <family val="0"/>
        <charset val="1"/>
      </rPr>
      <t xml:space="preserve">12</t>
    </r>
    <r>
      <rPr>
        <sz val="10"/>
        <rFont val="Noto Sans CJK SC"/>
        <family val="2"/>
      </rPr>
      <t xml:space="preserve">초 동안 표시하고</t>
    </r>
    <r>
      <rPr>
        <sz val="10"/>
        <rFont val="맑은 고딕"/>
        <family val="0"/>
        <charset val="1"/>
      </rPr>
      <t xml:space="preserve">, </t>
    </r>
    <r>
      <rPr>
        <sz val="10"/>
        <rFont val="Noto Sans CJK SC"/>
        <family val="2"/>
      </rPr>
      <t xml:space="preserve">사용자가 닫을 수 있게 한다</t>
    </r>
    <r>
      <rPr>
        <sz val="10"/>
        <rFont val="맑은 고딕"/>
        <family val="0"/>
        <charset val="1"/>
      </rPr>
      <t xml:space="preserve">.</t>
    </r>
  </si>
  <si>
    <t xml:space="preserve">확정(v9): 표시 시간 12초 (확정 시안)</t>
  </si>
  <si>
    <t xml:space="preserve">F07-04</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</si>
  <si>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정리로 비게 된 기존 폴더를 삭제하지 않는다</t>
    </r>
    <r>
      <rPr>
        <sz val="10"/>
        <rFont val="맑은 고딕"/>
        <family val="0"/>
        <charset val="1"/>
      </rPr>
      <t xml:space="preserve">.</t>
    </r>
  </si>
  <si>
    <t xml:space="preserve">F07-05</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</si>
  <si>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북마크를 옮기기 전에 북마크별 목적지 폴더와 시각을 </t>
    </r>
    <r>
      <rPr>
        <sz val="10"/>
        <rFont val="맑은 고딕"/>
        <family val="0"/>
        <charset val="1"/>
      </rPr>
      <t xml:space="preserve">pendingMoves</t>
    </r>
    <r>
      <rPr>
        <sz val="10"/>
        <rFont val="Noto Sans CJK SC"/>
        <family val="2"/>
      </rPr>
      <t xml:space="preserve">에 저장하고</t>
    </r>
    <r>
      <rPr>
        <sz val="10"/>
        <rFont val="맑은 고딕"/>
        <family val="0"/>
        <charset val="1"/>
      </rPr>
      <t xml:space="preserve">, </t>
    </r>
    <r>
      <rPr>
        <sz val="10"/>
        <rFont val="Noto Sans CJK SC"/>
        <family val="2"/>
      </rPr>
      <t xml:space="preserve">서비스 워커는 </t>
    </r>
    <r>
      <rPr>
        <sz val="10"/>
        <rFont val="맑은 고딕"/>
        <family val="0"/>
        <charset val="1"/>
      </rPr>
      <t xml:space="preserve">1</t>
    </r>
    <r>
      <rPr>
        <sz val="10"/>
        <rFont val="Noto Sans CJK SC"/>
        <family val="2"/>
      </rPr>
      <t xml:space="preserve">분 안에 일어난 같은 목적지로의 이동을 </t>
    </r>
    <r>
      <rPr>
        <sz val="10"/>
        <rFont val="맑은 고딕"/>
        <family val="0"/>
        <charset val="1"/>
      </rPr>
      <t xml:space="preserve">"</t>
    </r>
    <r>
      <rPr>
        <sz val="10"/>
        <rFont val="Noto Sans CJK SC"/>
        <family val="2"/>
      </rPr>
      <t xml:space="preserve">직접 옮김</t>
    </r>
    <r>
      <rPr>
        <sz val="10"/>
        <rFont val="맑은 고딕"/>
        <family val="0"/>
        <charset val="1"/>
      </rPr>
      <t xml:space="preserve">"</t>
    </r>
    <r>
      <rPr>
        <sz val="10"/>
        <rFont val="Noto Sans CJK SC"/>
        <family val="2"/>
      </rPr>
      <t xml:space="preserve">으로 기록하지 않는다</t>
    </r>
    <r>
      <rPr>
        <sz val="10"/>
        <rFont val="맑은 고딕"/>
        <family val="0"/>
        <charset val="1"/>
      </rPr>
      <t xml:space="preserve">.</t>
    </r>
  </si>
  <si>
    <t xml:space="preserve">수정(v2): 새 탭이 옮긴 직후 표시를 지우면 서비스 워커가 늦게 깨어났을 때 직접 옮김으로 잘못 기록해 되돌리기가 막힘. 표시는 지우지 않고 시간으로 만료</t>
  </si>
  <si>
    <t xml:space="preserve">F07-06</t>
  </si>
  <si>
    <r>
      <rPr>
        <sz val="10"/>
        <rFont val="맑은 고딕"/>
        <family val="0"/>
        <charset val="1"/>
      </rPr>
      <t xml:space="preserve">WHEN </t>
    </r>
    <r>
      <rPr>
        <sz val="10"/>
        <rFont val="Noto Sans CJK SC"/>
        <family val="2"/>
      </rPr>
      <t xml:space="preserve">사용자가 크롬 북마크 관리자나 우리 새 탭</t>
    </r>
    <r>
      <rPr>
        <sz val="10"/>
        <rFont val="맑은 고딕"/>
        <family val="0"/>
        <charset val="1"/>
      </rPr>
      <t xml:space="preserve">(</t>
    </r>
    <r>
      <rPr>
        <sz val="10"/>
        <rFont val="Noto Sans CJK SC"/>
        <family val="2"/>
      </rPr>
      <t xml:space="preserve">우클릭</t>
    </r>
    <r>
      <rPr>
        <sz val="10"/>
        <rFont val="맑은 고딕"/>
        <family val="0"/>
        <charset val="1"/>
      </rPr>
      <t xml:space="preserve">, </t>
    </r>
    <r>
      <rPr>
        <sz val="10"/>
        <rFont val="Noto Sans CJK SC"/>
        <family val="2"/>
      </rPr>
      <t xml:space="preserve">드래그</t>
    </r>
    <r>
      <rPr>
        <sz val="10"/>
        <rFont val="맑은 고딕"/>
        <family val="0"/>
        <charset val="1"/>
      </rPr>
      <t xml:space="preserve">)</t>
    </r>
    <r>
      <rPr>
        <sz val="10"/>
        <rFont val="Noto Sans CJK SC"/>
        <family val="2"/>
      </rPr>
      <t xml:space="preserve">에서 북마크를 다른 폴더로 옮기면 </t>
    </r>
    <r>
      <rPr>
        <sz val="10"/>
        <rFont val="맑은 고딕"/>
        <family val="0"/>
        <charset val="1"/>
      </rPr>
      <t xml:space="preserve">THE </t>
    </r>
    <r>
      <rPr>
        <sz val="10"/>
        <rFont val="Noto Sans CJK SC"/>
        <family val="2"/>
      </rPr>
      <t xml:space="preserve">서비스 워커는 </t>
    </r>
    <r>
      <rPr>
        <sz val="10"/>
        <rFont val="맑은 고딕"/>
        <family val="0"/>
        <charset val="1"/>
      </rPr>
      <t xml:space="preserve">SHALL </t>
    </r>
    <r>
      <rPr>
        <sz val="10"/>
        <rFont val="Noto Sans CJK SC"/>
        <family val="2"/>
      </rPr>
      <t xml:space="preserve">새 탭이 닫혀 있어도 그 북마크를 </t>
    </r>
    <r>
      <rPr>
        <sz val="10"/>
        <rFont val="맑은 고딕"/>
        <family val="0"/>
        <charset val="1"/>
      </rPr>
      <t xml:space="preserve">manualMoves</t>
    </r>
    <r>
      <rPr>
        <sz val="10"/>
        <rFont val="Noto Sans CJK SC"/>
        <family val="2"/>
      </rPr>
      <t xml:space="preserve">에 기록한다</t>
    </r>
    <r>
      <rPr>
        <sz val="10"/>
        <rFont val="맑은 고딕"/>
        <family val="0"/>
        <charset val="1"/>
      </rPr>
      <t xml:space="preserve">.</t>
    </r>
  </si>
  <si>
    <t xml:space="preserve">F07-07</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</si>
  <si>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manualMoves</t>
    </r>
    <r>
      <rPr>
        <sz val="10"/>
        <rFont val="Noto Sans CJK SC"/>
        <family val="2"/>
      </rPr>
      <t xml:space="preserve">에 기록된 북마크를 이후의 정리 대상에서 뺀다</t>
    </r>
    <r>
      <rPr>
        <sz val="10"/>
        <rFont val="맑은 고딕"/>
        <family val="0"/>
        <charset val="1"/>
      </rPr>
      <t xml:space="preserve">.</t>
    </r>
  </si>
  <si>
    <t xml:space="preserve">F07-08</t>
  </si>
  <si>
    <r>
      <rPr>
        <sz val="10"/>
        <rFont val="맑은 고딕"/>
        <family val="0"/>
        <charset val="1"/>
      </rPr>
      <t xml:space="preserve">IF </t>
    </r>
    <r>
      <rPr>
        <sz val="10"/>
        <rFont val="Noto Sans CJK SC"/>
        <family val="2"/>
      </rPr>
      <t xml:space="preserve">북마크바에 같은 이름의 폴더가 이미 있으면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새 폴더를 만들지 않고 그 폴더를 쓴다</t>
    </r>
    <r>
      <rPr>
        <sz val="10"/>
        <rFont val="맑은 고딕"/>
        <family val="0"/>
        <charset val="1"/>
      </rPr>
      <t xml:space="preserve">.</t>
    </r>
  </si>
  <si>
    <t xml:space="preserve">F07-09</t>
  </si>
  <si>
    <r>
      <rPr>
        <sz val="10"/>
        <rFont val="맑은 고딕"/>
        <family val="0"/>
        <charset val="1"/>
      </rPr>
      <t xml:space="preserve">IF </t>
    </r>
    <r>
      <rPr>
        <sz val="10"/>
        <rFont val="Noto Sans CJK SC"/>
        <family val="2"/>
      </rPr>
      <t xml:space="preserve">옮기는 도중 북마크가 이미 삭제돼 이동에 실패하면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북마크를 건너뛰고</t>
    </r>
    <r>
      <rPr>
        <sz val="10"/>
        <rFont val="맑은 고딕"/>
        <family val="0"/>
        <charset val="1"/>
      </rPr>
      <t xml:space="preserve">, </t>
    </r>
    <r>
      <rPr>
        <sz val="10"/>
        <rFont val="Noto Sans CJK SC"/>
        <family val="2"/>
      </rPr>
      <t xml:space="preserve">옮긴 것만 </t>
    </r>
    <r>
      <rPr>
        <sz val="10"/>
        <rFont val="맑은 고딕"/>
        <family val="0"/>
        <charset val="1"/>
      </rPr>
      <t xml:space="preserve">history</t>
    </r>
    <r>
      <rPr>
        <sz val="10"/>
        <rFont val="Noto Sans CJK SC"/>
        <family val="2"/>
      </rPr>
      <t xml:space="preserve">에 저장하며</t>
    </r>
    <r>
      <rPr>
        <sz val="10"/>
        <rFont val="맑은 고딕"/>
        <family val="0"/>
        <charset val="1"/>
      </rPr>
      <t xml:space="preserve">, </t>
    </r>
    <r>
      <rPr>
        <sz val="10"/>
        <rFont val="Noto Sans CJK SC"/>
        <family val="2"/>
      </rPr>
      <t xml:space="preserve">건너뛴 개수를 결과 안내에 표시한다</t>
    </r>
    <r>
      <rPr>
        <sz val="10"/>
        <rFont val="맑은 고딕"/>
        <family val="0"/>
        <charset val="1"/>
      </rPr>
      <t xml:space="preserve">.</t>
    </r>
  </si>
  <si>
    <t xml:space="preserve">제안: 실패 처리</t>
  </si>
  <si>
    <t xml:space="preserve">F08-01</t>
  </si>
  <si>
    <r>
      <rPr>
        <sz val="10"/>
        <rFont val="맑은 고딕"/>
        <family val="0"/>
        <charset val="1"/>
      </rPr>
      <t xml:space="preserve">WHEN </t>
    </r>
    <r>
      <rPr>
        <sz val="10"/>
        <rFont val="Noto Sans CJK SC"/>
        <family val="2"/>
      </rPr>
      <t xml:space="preserve">사용자가 앱에서 </t>
    </r>
    <r>
      <rPr>
        <sz val="10"/>
        <rFont val="맑은 고딕"/>
        <family val="0"/>
        <charset val="1"/>
      </rPr>
      <t xml:space="preserve">[</t>
    </r>
    <r>
      <rPr>
        <sz val="10"/>
        <rFont val="Noto Sans CJK SC"/>
        <family val="2"/>
      </rPr>
      <t xml:space="preserve">고정하기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 </t>
    </r>
    <r>
      <rPr>
        <sz val="10"/>
        <rFont val="맑은 고딕"/>
        <family val="0"/>
        <charset val="1"/>
      </rPr>
      <t xml:space="preserve">ID</t>
    </r>
    <r>
      <rPr>
        <sz val="10"/>
        <rFont val="Noto Sans CJK SC"/>
        <family val="2"/>
      </rPr>
      <t xml:space="preserve">를 </t>
    </r>
    <r>
      <rPr>
        <sz val="10"/>
        <rFont val="맑은 고딕"/>
        <family val="0"/>
        <charset val="1"/>
      </rPr>
      <t xml:space="preserve">pinned</t>
    </r>
    <r>
      <rPr>
        <sz val="10"/>
        <rFont val="Noto Sans CJK SC"/>
        <family val="2"/>
      </rPr>
      <t xml:space="preserve">에 추가하고 화면 아래의 고정됨</t>
    </r>
    <r>
      <rPr>
        <sz val="10"/>
        <rFont val="맑은 고딕"/>
        <family val="0"/>
        <charset val="1"/>
      </rPr>
      <t xml:space="preserve">(</t>
    </r>
    <r>
      <rPr>
        <sz val="10"/>
        <rFont val="Noto Sans CJK SC"/>
        <family val="2"/>
      </rPr>
      <t xml:space="preserve">독</t>
    </r>
    <r>
      <rPr>
        <sz val="10"/>
        <rFont val="맑은 고딕"/>
        <family val="0"/>
        <charset val="1"/>
      </rPr>
      <t xml:space="preserve">)</t>
    </r>
    <r>
      <rPr>
        <sz val="10"/>
        <rFont val="Noto Sans CJK SC"/>
        <family val="2"/>
      </rPr>
      <t xml:space="preserve">에 표시한다</t>
    </r>
    <r>
      <rPr>
        <sz val="10"/>
        <rFont val="맑은 고딕"/>
        <family val="0"/>
        <charset val="1"/>
      </rPr>
      <t xml:space="preserve">.</t>
    </r>
  </si>
  <si>
    <t xml:space="preserve">3-5</t>
  </si>
  <si>
    <t xml:space="preserve">확정(v5): 최대 8개 (F08-06)</t>
  </si>
  <si>
    <t xml:space="preserve">F08-02</t>
  </si>
  <si>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새 탭을 다시 열어도 </t>
    </r>
    <r>
      <rPr>
        <sz val="10"/>
        <rFont val="맑은 고딕"/>
        <family val="0"/>
        <charset val="1"/>
      </rPr>
      <t xml:space="preserve">pinned</t>
    </r>
    <r>
      <rPr>
        <sz val="10"/>
        <rFont val="Noto Sans CJK SC"/>
        <family val="2"/>
      </rPr>
      <t xml:space="preserve">에 저장된 순서대로 독을 표시한다</t>
    </r>
    <r>
      <rPr>
        <sz val="10"/>
        <rFont val="맑은 고딕"/>
        <family val="0"/>
        <charset val="1"/>
      </rPr>
      <t xml:space="preserve">.</t>
    </r>
  </si>
  <si>
    <t xml:space="preserve">F08-03</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</si>
  <si>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고정할 때 크롬 북마크의 위치를 바꾸지 않는다</t>
    </r>
    <r>
      <rPr>
        <sz val="10"/>
        <rFont val="맑은 고딕"/>
        <family val="0"/>
        <charset val="1"/>
      </rPr>
      <t xml:space="preserve">.</t>
    </r>
  </si>
  <si>
    <t xml:space="preserve">F08-04</t>
  </si>
  <si>
    <r>
      <rPr>
        <sz val="10"/>
        <rFont val="맑은 고딕"/>
        <family val="0"/>
        <charset val="1"/>
      </rPr>
      <t xml:space="preserve">WHEN </t>
    </r>
    <r>
      <rPr>
        <sz val="10"/>
        <rFont val="Noto Sans CJK SC"/>
        <family val="2"/>
      </rPr>
      <t xml:space="preserve">사용자가 독의 앱에서 </t>
    </r>
    <r>
      <rPr>
        <sz val="10"/>
        <rFont val="맑은 고딕"/>
        <family val="0"/>
        <charset val="1"/>
      </rPr>
      <t xml:space="preserve">[</t>
    </r>
    <r>
      <rPr>
        <sz val="10"/>
        <rFont val="Noto Sans CJK SC"/>
        <family val="2"/>
      </rPr>
      <t xml:space="preserve">고정 해제</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 </t>
    </r>
    <r>
      <rPr>
        <sz val="10"/>
        <rFont val="맑은 고딕"/>
        <family val="0"/>
        <charset val="1"/>
      </rPr>
      <t xml:space="preserve">ID</t>
    </r>
    <r>
      <rPr>
        <sz val="10"/>
        <rFont val="Noto Sans CJK SC"/>
        <family val="2"/>
      </rPr>
      <t xml:space="preserve">를 </t>
    </r>
    <r>
      <rPr>
        <sz val="10"/>
        <rFont val="맑은 고딕"/>
        <family val="0"/>
        <charset val="1"/>
      </rPr>
      <t xml:space="preserve">pinned</t>
    </r>
    <r>
      <rPr>
        <sz val="10"/>
        <rFont val="Noto Sans CJK SC"/>
        <family val="2"/>
      </rPr>
      <t xml:space="preserve">에서 지우고 독에서 뺀다</t>
    </r>
    <r>
      <rPr>
        <sz val="10"/>
        <rFont val="맑은 고딕"/>
        <family val="0"/>
        <charset val="1"/>
      </rPr>
      <t xml:space="preserve">.</t>
    </r>
  </si>
  <si>
    <t xml:space="preserve">확정(v9): 고정된 앱에 마우스를 올리면 나타나는 x 버튼으로 해제</t>
  </si>
  <si>
    <t xml:space="preserve">F08-05</t>
  </si>
  <si>
    <r>
      <rPr>
        <sz val="10"/>
        <rFont val="맑은 고딕"/>
        <family val="0"/>
        <charset val="1"/>
      </rPr>
      <t xml:space="preserve">IF </t>
    </r>
    <r>
      <rPr>
        <sz val="10"/>
        <rFont val="Noto Sans CJK SC"/>
        <family val="2"/>
      </rPr>
      <t xml:space="preserve">고정된 북마크가 크롬에서 삭제되면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그 앱을 독에서 뺀다</t>
    </r>
    <r>
      <rPr>
        <sz val="10"/>
        <rFont val="맑은 고딕"/>
        <family val="0"/>
        <charset val="1"/>
      </rPr>
      <t xml:space="preserve">.</t>
    </r>
  </si>
  <si>
    <t xml:space="preserve">F08-06</t>
  </si>
  <si>
    <r>
      <rPr>
        <sz val="10"/>
        <rFont val="맑은 고딕"/>
        <family val="0"/>
        <charset val="1"/>
      </rPr>
      <t xml:space="preserve">IF </t>
    </r>
    <r>
      <rPr>
        <sz val="10"/>
        <rFont val="Noto Sans CJK SC"/>
        <family val="2"/>
      </rPr>
      <t xml:space="preserve">독에 이미 </t>
    </r>
    <r>
      <rPr>
        <sz val="10"/>
        <rFont val="맑은 고딕"/>
        <family val="0"/>
        <charset val="1"/>
      </rPr>
      <t xml:space="preserve">8</t>
    </r>
    <r>
      <rPr>
        <sz val="10"/>
        <rFont val="Noto Sans CJK SC"/>
        <family val="2"/>
      </rPr>
      <t xml:space="preserve">개가 고정돼 있으면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더 고정하지 않고 </t>
    </r>
    <r>
      <rPr>
        <sz val="10"/>
        <rFont val="맑은 고딕"/>
        <family val="0"/>
        <charset val="1"/>
      </rPr>
      <t xml:space="preserve">"</t>
    </r>
    <r>
      <rPr>
        <sz val="10"/>
        <rFont val="Noto Sans CJK SC"/>
        <family val="2"/>
      </rPr>
      <t xml:space="preserve">고정은 </t>
    </r>
    <r>
      <rPr>
        <sz val="10"/>
        <rFont val="맑은 고딕"/>
        <family val="0"/>
        <charset val="1"/>
      </rPr>
      <t xml:space="preserve">8</t>
    </r>
    <r>
      <rPr>
        <sz val="10"/>
        <rFont val="Noto Sans CJK SC"/>
        <family val="2"/>
      </rPr>
      <t xml:space="preserve">개까지 할 수 있어요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</si>
  <si>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추가(v5) · 실행 확인</t>
  </si>
  <si>
    <t xml:space="preserve">F09-01</t>
  </si>
  <si>
    <r>
      <rPr>
        <sz val="10"/>
        <rFont val="맑은 고딕"/>
        <family val="0"/>
        <charset val="1"/>
      </rPr>
      <t xml:space="preserve">WHEN </t>
    </r>
    <r>
      <rPr>
        <sz val="10"/>
        <rFont val="Noto Sans CJK SC"/>
        <family val="2"/>
      </rPr>
      <t xml:space="preserve">고정 제안이 돌아온 상태에서 사용자가 처음 새 탭을 열면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북마크들이 서로 달라서 아직 묶을 폴더가 없어요</t>
    </r>
    <r>
      <rPr>
        <sz val="10"/>
        <rFont val="맑은 고딕"/>
        <family val="0"/>
        <charset val="1"/>
      </rPr>
      <t xml:space="preserve">. </t>
    </r>
    <r>
      <rPr>
        <sz val="10"/>
        <rFont val="Noto Sans CJK SC"/>
        <family val="2"/>
      </rPr>
      <t xml:space="preserve">대신 자주 쓰는 북마크 </t>
    </r>
    <r>
      <rPr>
        <sz val="10"/>
        <rFont val="맑은 고딕"/>
        <family val="0"/>
        <charset val="1"/>
      </rPr>
      <t xml:space="preserve">5</t>
    </r>
    <r>
      <rPr>
        <sz val="10"/>
        <rFont val="Noto Sans CJK SC"/>
        <family val="2"/>
      </rPr>
      <t xml:space="preserve">개를 고정할까요</t>
    </r>
    <r>
      <rPr>
        <sz val="10"/>
        <rFont val="맑은 고딕"/>
        <family val="0"/>
        <charset val="1"/>
      </rPr>
      <t xml:space="preserve">?"</t>
    </r>
    <r>
      <rPr>
        <sz val="10"/>
        <rFont val="Noto Sans CJK SC"/>
        <family val="2"/>
      </rPr>
      <t xml:space="preserve">와 </t>
    </r>
    <r>
      <rPr>
        <sz val="10"/>
        <rFont val="맑은 고딕"/>
        <family val="0"/>
        <charset val="1"/>
      </rPr>
      <t xml:space="preserve">[</t>
    </r>
    <r>
      <rPr>
        <sz val="10"/>
        <rFont val="Noto Sans CJK SC"/>
        <family val="2"/>
      </rPr>
      <t xml:space="preserve">고정하기</t>
    </r>
    <r>
      <rPr>
        <sz val="10"/>
        <rFont val="맑은 고딕"/>
        <family val="0"/>
        <charset val="1"/>
      </rPr>
      <t xml:space="preserve">]·[</t>
    </r>
    <r>
      <rPr>
        <sz val="10"/>
        <rFont val="Noto Sans CJK SC"/>
        <family val="2"/>
      </rPr>
      <t xml:space="preserve">고르기</t>
    </r>
    <r>
      <rPr>
        <sz val="10"/>
        <rFont val="맑은 고딕"/>
        <family val="0"/>
        <charset val="1"/>
      </rPr>
      <t xml:space="preserve">]·[</t>
    </r>
    <r>
      <rPr>
        <sz val="10"/>
        <rFont val="Noto Sans CJK SC"/>
        <family val="2"/>
      </rPr>
      <t xml:space="preserve">나중에</t>
    </r>
    <r>
      <rPr>
        <sz val="10"/>
        <rFont val="맑은 고딕"/>
        <family val="0"/>
        <charset val="1"/>
      </rPr>
      <t xml:space="preserve">] </t>
    </r>
    <r>
      <rPr>
        <sz val="10"/>
        <rFont val="Noto Sans CJK SC"/>
        <family val="2"/>
      </rPr>
      <t xml:space="preserve">버튼을 표시한다</t>
    </r>
    <r>
      <rPr>
        <sz val="10"/>
        <rFont val="맑은 고딕"/>
        <family val="0"/>
        <charset val="1"/>
      </rPr>
      <t xml:space="preserve">.</t>
    </r>
  </si>
  <si>
    <t xml:space="preserve">2-9, 3-5</t>
  </si>
  <si>
    <t xml:space="preserve">F09-02</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</si>
  <si>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고정하기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그때에만 </t>
    </r>
    <r>
      <rPr>
        <sz val="10"/>
        <rFont val="맑은 고딕"/>
        <family val="0"/>
        <charset val="1"/>
      </rPr>
      <t xml:space="preserve">topSites </t>
    </r>
    <r>
      <rPr>
        <sz val="10"/>
        <rFont val="Noto Sans CJK SC"/>
        <family val="2"/>
      </rPr>
      <t xml:space="preserve">권한 허락을 요청한다</t>
    </r>
    <r>
      <rPr>
        <sz val="10"/>
        <rFont val="맑은 고딕"/>
        <family val="0"/>
        <charset val="1"/>
      </rPr>
      <t xml:space="preserve">.</t>
    </r>
  </si>
  <si>
    <t xml:space="preserve">실행 확인(v4): 크롬이 "가장 자주 방문하는 웹사이트 목록 읽기" 창을 띄움. 허락하면 새로고침 없이 바로 목록을 읽을 수 있음</t>
  </si>
  <si>
    <t xml:space="preserve">팀원 A, 팀원 D</t>
  </si>
  <si>
    <t xml:space="preserve">F09-03</t>
  </si>
  <si>
    <r>
      <rPr>
        <sz val="10"/>
        <rFont val="맑은 고딕"/>
        <family val="0"/>
        <charset val="1"/>
      </rPr>
      <t xml:space="preserve">WHEN </t>
    </r>
    <r>
      <rPr>
        <sz val="10"/>
        <rFont val="Noto Sans CJK SC"/>
        <family val="2"/>
      </rPr>
      <t xml:space="preserve">사용자가 권한을 허락하면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자주 방문한 사이트와 같은 사이트</t>
    </r>
    <r>
      <rPr>
        <sz val="10"/>
        <rFont val="맑은 고딕"/>
        <family val="0"/>
        <charset val="1"/>
      </rPr>
      <t xml:space="preserve">(</t>
    </r>
    <r>
      <rPr>
        <sz val="10"/>
        <rFont val="Noto Sans CJK SC"/>
        <family val="2"/>
      </rPr>
      <t xml:space="preserve">호스트 이름 일치</t>
    </r>
    <r>
      <rPr>
        <sz val="10"/>
        <rFont val="맑은 고딕"/>
        <family val="0"/>
        <charset val="1"/>
      </rPr>
      <t xml:space="preserve">)</t>
    </r>
    <r>
      <rPr>
        <sz val="10"/>
        <rFont val="Noto Sans CJK SC"/>
        <family val="2"/>
      </rPr>
      <t xml:space="preserve">인 북마크를 목록 순서대로 고르고</t>
    </r>
    <r>
      <rPr>
        <sz val="10"/>
        <rFont val="맑은 고딕"/>
        <family val="0"/>
        <charset val="1"/>
      </rPr>
      <t xml:space="preserve">, 5</t>
    </r>
    <r>
      <rPr>
        <sz val="10"/>
        <rFont val="Noto Sans CJK SC"/>
        <family val="2"/>
      </rPr>
      <t xml:space="preserve">개가 안 되면 최근에 연 순으로 채워 최대 </t>
    </r>
    <r>
      <rPr>
        <sz val="10"/>
        <rFont val="맑은 고딕"/>
        <family val="0"/>
        <charset val="1"/>
      </rPr>
      <t xml:space="preserve">5</t>
    </r>
    <r>
      <rPr>
        <sz val="10"/>
        <rFont val="Noto Sans CJK SC"/>
        <family val="2"/>
      </rPr>
      <t xml:space="preserve">개를 고정한다</t>
    </r>
    <r>
      <rPr>
        <sz val="10"/>
        <rFont val="맑은 고딕"/>
        <family val="0"/>
        <charset val="1"/>
      </rPr>
      <t xml:space="preserve">.</t>
    </r>
  </si>
  <si>
    <t xml:space="preserve">제안: '같은 사이트'를 호스트 이름 일치로 정의 (앞의 www.는 떼고 비교)</t>
  </si>
  <si>
    <t xml:space="preserve">F09-04</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</si>
  <si>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자주 방문한 사이트 목록을 저장하거나 외부로 전송하지 않는다</t>
    </r>
    <r>
      <rPr>
        <sz val="10"/>
        <rFont val="맑은 고딕"/>
        <family val="0"/>
        <charset val="1"/>
      </rPr>
      <t xml:space="preserve">.</t>
    </r>
  </si>
  <si>
    <t xml:space="preserve">F09-05</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</si>
  <si>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고르기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북마크 목록을 표시하고</t>
    </r>
    <r>
      <rPr>
        <sz val="10"/>
        <rFont val="맑은 고딕"/>
        <family val="0"/>
        <charset val="1"/>
      </rPr>
      <t xml:space="preserve">, </t>
    </r>
    <r>
      <rPr>
        <sz val="10"/>
        <rFont val="Noto Sans CJK SC"/>
        <family val="2"/>
      </rPr>
      <t xml:space="preserve">사용자가 고른 북마크</t>
    </r>
    <r>
      <rPr>
        <sz val="10"/>
        <rFont val="맑은 고딕"/>
        <family val="0"/>
        <charset val="1"/>
      </rPr>
      <t xml:space="preserve">(</t>
    </r>
    <r>
      <rPr>
        <sz val="10"/>
        <rFont val="Noto Sans CJK SC"/>
        <family val="2"/>
      </rPr>
      <t xml:space="preserve">최대 </t>
    </r>
    <r>
      <rPr>
        <sz val="10"/>
        <rFont val="맑은 고딕"/>
        <family val="0"/>
        <charset val="1"/>
      </rPr>
      <t xml:space="preserve">5</t>
    </r>
    <r>
      <rPr>
        <sz val="10"/>
        <rFont val="Noto Sans CJK SC"/>
        <family val="2"/>
      </rPr>
      <t xml:space="preserve">개</t>
    </r>
    <r>
      <rPr>
        <sz val="10"/>
        <rFont val="맑은 고딕"/>
        <family val="0"/>
        <charset val="1"/>
      </rPr>
      <t xml:space="preserve">)</t>
    </r>
    <r>
      <rPr>
        <sz val="10"/>
        <rFont val="Noto Sans CJK SC"/>
        <family val="2"/>
      </rPr>
      <t xml:space="preserve">를 고정한다</t>
    </r>
    <r>
      <rPr>
        <sz val="10"/>
        <rFont val="맑은 고딕"/>
        <family val="0"/>
        <charset val="1"/>
      </rPr>
      <t xml:space="preserve">.</t>
    </r>
  </si>
  <si>
    <t xml:space="preserve">제안: 고르기의 최대 개수</t>
  </si>
  <si>
    <t xml:space="preserve">F09-06</t>
  </si>
  <si>
    <r>
      <rPr>
        <sz val="10"/>
        <rFont val="맑은 고딕"/>
        <family val="0"/>
        <charset val="1"/>
      </rPr>
      <t xml:space="preserve">WHEN </t>
    </r>
    <r>
      <rPr>
        <sz val="10"/>
        <rFont val="Noto Sans CJK SC"/>
        <family val="2"/>
      </rPr>
      <t xml:space="preserve">사용자가 고정됨의 </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고정할 북마크 고르기</t>
    </r>
    <r>
      <rPr>
        <sz val="10"/>
        <rFont val="맑은 고딕"/>
        <family val="0"/>
        <charset val="1"/>
      </rPr>
      <t xml:space="preserve">" </t>
    </r>
    <r>
      <rPr>
        <sz val="10"/>
        <rFont val="Noto Sans CJK SC"/>
        <family val="2"/>
      </rPr>
      <t xml:space="preserve">창</t>
    </r>
    <r>
      <rPr>
        <sz val="10"/>
        <rFont val="맑은 고딕"/>
        <family val="0"/>
        <charset val="1"/>
      </rPr>
      <t xml:space="preserve">(F09-05</t>
    </r>
    <r>
      <rPr>
        <sz val="10"/>
        <rFont val="Noto Sans CJK SC"/>
        <family val="2"/>
      </rPr>
      <t xml:space="preserve">의 </t>
    </r>
    <r>
      <rPr>
        <sz val="10"/>
        <rFont val="맑은 고딕"/>
        <family val="0"/>
        <charset val="1"/>
      </rPr>
      <t xml:space="preserve">[</t>
    </r>
    <r>
      <rPr>
        <sz val="10"/>
        <rFont val="Noto Sans CJK SC"/>
        <family val="2"/>
      </rPr>
      <t xml:space="preserve">고르기</t>
    </r>
    <r>
      <rPr>
        <sz val="10"/>
        <rFont val="맑은 고딕"/>
        <family val="0"/>
        <charset val="1"/>
      </rPr>
      <t xml:space="preserve">]</t>
    </r>
    <r>
      <rPr>
        <sz val="10"/>
        <rFont val="Noto Sans CJK SC"/>
        <family val="2"/>
      </rPr>
      <t xml:space="preserve">와 같은 창</t>
    </r>
    <r>
      <rPr>
        <sz val="10"/>
        <rFont val="맑은 고딕"/>
        <family val="0"/>
        <charset val="1"/>
      </rPr>
      <t xml:space="preserve">)</t>
    </r>
    <r>
      <rPr>
        <sz val="10"/>
        <rFont val="Noto Sans CJK SC"/>
        <family val="2"/>
      </rPr>
      <t xml:space="preserve">을 열어 폴더 안의 북마크까지 고르게 하고</t>
    </r>
    <r>
      <rPr>
        <sz val="10"/>
        <rFont val="맑은 고딕"/>
        <family val="0"/>
        <charset val="1"/>
      </rPr>
      <t xml:space="preserve">, </t>
    </r>
    <r>
      <rPr>
        <sz val="10"/>
        <rFont val="Noto Sans CJK SC"/>
        <family val="2"/>
      </rPr>
      <t xml:space="preserve">고정이 </t>
    </r>
    <r>
      <rPr>
        <sz val="10"/>
        <rFont val="맑은 고딕"/>
        <family val="0"/>
        <charset val="1"/>
      </rPr>
      <t xml:space="preserve">8</t>
    </r>
    <r>
      <rPr>
        <sz val="10"/>
        <rFont val="Noto Sans CJK SC"/>
        <family val="2"/>
      </rPr>
      <t xml:space="preserve">개가 되면 </t>
    </r>
    <r>
      <rPr>
        <sz val="10"/>
        <rFont val="맑은 고딕"/>
        <family val="0"/>
        <charset val="1"/>
      </rPr>
      <t xml:space="preserve">[+]</t>
    </r>
    <r>
      <rPr>
        <sz val="10"/>
        <rFont val="Noto Sans CJK SC"/>
        <family val="2"/>
      </rPr>
      <t xml:space="preserve">를 숨긴다</t>
    </r>
    <r>
      <rPr>
        <sz val="10"/>
        <rFont val="맑은 고딕"/>
        <family val="0"/>
        <charset val="1"/>
      </rPr>
      <t xml:space="preserve">.</t>
    </r>
  </si>
  <si>
    <t xml:space="preserve">수정(v9): 북마크바가 기본 정리 대상이 되어 "북마크바에 N개가 있어요. 함께 정리할까요?" 요구사항은 삭제하고, 이 줄을 확정 시안의 [+] 버튼 동작으로 바꿈</t>
  </si>
  <si>
    <t xml:space="preserve">F09-07</t>
  </si>
  <si>
    <r>
      <rPr>
        <sz val="10"/>
        <rFont val="맑은 고딕"/>
        <family val="0"/>
        <charset val="1"/>
      </rPr>
      <t xml:space="preserve">WHEN </t>
    </r>
    <r>
      <rPr>
        <sz val="10"/>
        <rFont val="Noto Sans CJK SC"/>
        <family val="2"/>
      </rPr>
      <t xml:space="preserve">북마크가 늘어 폴더 계획을 세울 수 있게 되면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헤더의 </t>
    </r>
    <r>
      <rPr>
        <sz val="10"/>
        <rFont val="맑은 고딕"/>
        <family val="0"/>
        <charset val="1"/>
      </rPr>
      <t xml:space="preserve">[</t>
    </r>
    <r>
      <rPr>
        <sz val="10"/>
        <rFont val="Noto Sans CJK SC"/>
        <family val="2"/>
      </rPr>
      <t xml:space="preserve">정리하기</t>
    </r>
    <r>
      <rPr>
        <sz val="10"/>
        <rFont val="맑은 고딕"/>
        <family val="0"/>
        <charset val="1"/>
      </rPr>
      <t xml:space="preserve">] </t>
    </r>
    <r>
      <rPr>
        <sz val="10"/>
        <rFont val="Noto Sans CJK SC"/>
        <family val="2"/>
      </rPr>
      <t xml:space="preserve">버튼에서 첫 정리 카드를 제안한다</t>
    </r>
    <r>
      <rPr>
        <sz val="10"/>
        <rFont val="맑은 고딕"/>
        <family val="0"/>
        <charset val="1"/>
      </rPr>
      <t xml:space="preserve">.</t>
    </r>
  </si>
  <si>
    <t xml:space="preserve">제안: 제안 위치</t>
  </si>
  <si>
    <t xml:space="preserve">F09-08</t>
  </si>
  <si>
    <r>
      <rPr>
        <sz val="10"/>
        <rFont val="맑은 고딕"/>
        <family val="0"/>
        <charset val="1"/>
      </rPr>
      <t xml:space="preserve">IF </t>
    </r>
    <r>
      <rPr>
        <sz val="10"/>
        <rFont val="Noto Sans CJK SC"/>
        <family val="2"/>
      </rPr>
      <t xml:space="preserve">사용자가 권한을 거절하거나 자주 방문한 사이트 목록이 비어 있으면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최근에 연 순으로만 최대 </t>
    </r>
    <r>
      <rPr>
        <sz val="10"/>
        <rFont val="맑은 고딕"/>
        <family val="0"/>
        <charset val="1"/>
      </rPr>
      <t xml:space="preserve">5</t>
    </r>
    <r>
      <rPr>
        <sz val="10"/>
        <rFont val="Noto Sans CJK SC"/>
        <family val="2"/>
      </rPr>
      <t xml:space="preserve">개를 골라 고정한다</t>
    </r>
    <r>
      <rPr>
        <sz val="10"/>
        <rFont val="맑은 고딕"/>
        <family val="0"/>
        <charset val="1"/>
      </rPr>
      <t xml:space="preserve">.</t>
    </r>
  </si>
  <si>
    <t xml:space="preserve">실행 확인(v4): 거절하면 false가 돌아오고 chrome.topSites는 없는 상태로 남음</t>
  </si>
  <si>
    <t xml:space="preserve">F09-09</t>
  </si>
  <si>
    <r>
      <rPr>
        <sz val="10"/>
        <rFont val="맑은 고딕"/>
        <family val="0"/>
        <charset val="1"/>
      </rPr>
      <t xml:space="preserve">IF </t>
    </r>
    <r>
      <rPr>
        <sz val="10"/>
        <rFont val="Noto Sans CJK SC"/>
        <family val="2"/>
      </rPr>
      <t xml:space="preserve">고를 수 있는 북마크가 하나도 없으면</t>
    </r>
    <r>
      <rPr>
        <sz val="10"/>
        <rFont val="맑은 고딕"/>
        <family val="0"/>
        <charset val="1"/>
      </rPr>
      <t xml:space="preserve">(</t>
    </r>
    <r>
      <rPr>
        <sz val="10"/>
        <rFont val="Noto Sans CJK SC"/>
        <family val="2"/>
      </rPr>
      <t xml:space="preserve">자주 방문한 사이트와 겹치지 않고</t>
    </r>
    <r>
      <rPr>
        <sz val="10"/>
        <rFont val="맑은 고딕"/>
        <family val="0"/>
        <charset val="1"/>
      </rPr>
      <t xml:space="preserve">, </t>
    </r>
    <r>
      <rPr>
        <sz val="10"/>
        <rFont val="Noto Sans CJK SC"/>
        <family val="2"/>
      </rPr>
      <t xml:space="preserve">연 적 있는 북마크도 없음</t>
    </r>
    <r>
      <rPr>
        <sz val="10"/>
        <rFont val="맑은 고딕"/>
        <family val="0"/>
        <charset val="1"/>
      </rPr>
      <t xml:space="preserve">) THEN THE </t>
    </r>
    <r>
      <rPr>
        <sz val="10"/>
        <rFont val="Noto Sans CJK SC"/>
        <family val="2"/>
      </rPr>
      <t xml:space="preserve">시스템은 </t>
    </r>
    <r>
      <rPr>
        <sz val="10"/>
        <rFont val="맑은 고딕"/>
        <family val="0"/>
        <charset val="1"/>
      </rPr>
      <t xml:space="preserve">SHALL </t>
    </r>
    <r>
      <rPr>
        <sz val="10"/>
        <rFont val="Noto Sans CJK SC"/>
        <family val="2"/>
      </rPr>
      <t xml:space="preserve">아무것도 고정하지 않고 </t>
    </r>
    <r>
      <rPr>
        <sz val="10"/>
        <rFont val="맑은 고딕"/>
        <family val="0"/>
        <charset val="1"/>
      </rPr>
      <t xml:space="preserve">[</t>
    </r>
    <r>
      <rPr>
        <sz val="10"/>
        <rFont val="Noto Sans CJK SC"/>
        <family val="2"/>
      </rPr>
      <t xml:space="preserve">고르기</t>
    </r>
    <r>
      <rPr>
        <sz val="10"/>
        <rFont val="맑은 고딕"/>
        <family val="0"/>
        <charset val="1"/>
      </rPr>
      <t xml:space="preserve">] </t>
    </r>
    <r>
      <rPr>
        <sz val="10"/>
        <rFont val="Noto Sans CJK SC"/>
        <family val="2"/>
      </rPr>
      <t xml:space="preserve">화면을 연다</t>
    </r>
    <r>
      <rPr>
        <sz val="10"/>
        <rFont val="맑은 고딕"/>
        <family val="0"/>
        <charset val="1"/>
      </rPr>
      <t xml:space="preserve">.</t>
    </r>
  </si>
  <si>
    <t xml:space="preserve">추가(v4): 프로토타입에서 설치 직후에는 후보가 0개인 경우가 실제로 나옴</t>
  </si>
  <si>
    <t xml:space="preserve">F10-01</t>
  </si>
  <si>
    <r>
      <rPr>
        <sz val="10"/>
        <rFont val="맑은 고딕"/>
        <family val="0"/>
        <charset val="1"/>
      </rPr>
      <t xml:space="preserve">WHEN </t>
    </r>
    <r>
      <rPr>
        <sz val="10"/>
        <rFont val="Noto Sans CJK SC"/>
        <family val="2"/>
      </rPr>
      <t xml:space="preserve">북마크가 북마크바</t>
    </r>
    <r>
      <rPr>
        <sz val="10"/>
        <rFont val="맑은 고딕"/>
        <family val="0"/>
        <charset val="1"/>
      </rPr>
      <t xml:space="preserve">·</t>
    </r>
    <r>
      <rPr>
        <sz val="10"/>
        <rFont val="Noto Sans CJK SC"/>
        <family val="2"/>
      </rPr>
      <t xml:space="preserve">기타 북마크</t>
    </r>
    <r>
      <rPr>
        <sz val="10"/>
        <rFont val="맑은 고딕"/>
        <family val="0"/>
        <charset val="1"/>
      </rPr>
      <t xml:space="preserve">·</t>
    </r>
    <r>
      <rPr>
        <sz val="10"/>
        <rFont val="Noto Sans CJK SC"/>
        <family val="2"/>
      </rPr>
      <t xml:space="preserve">모바일 북마크 바로 아래</t>
    </r>
    <r>
      <rPr>
        <sz val="10"/>
        <rFont val="맑은 고딕"/>
        <family val="0"/>
        <charset val="1"/>
      </rPr>
      <t xml:space="preserve">(</t>
    </r>
    <r>
      <rPr>
        <sz val="10"/>
        <rFont val="Noto Sans CJK SC"/>
        <family val="2"/>
      </rPr>
      <t xml:space="preserve">폴더 밖</t>
    </r>
    <r>
      <rPr>
        <sz val="10"/>
        <rFont val="맑은 고딕"/>
        <family val="0"/>
        <charset val="1"/>
      </rPr>
      <t xml:space="preserve">)</t>
    </r>
    <r>
      <rPr>
        <sz val="10"/>
        <rFont val="Noto Sans CJK SC"/>
        <family val="2"/>
      </rPr>
      <t xml:space="preserve">에 새로 저장되면 </t>
    </r>
    <r>
      <rPr>
        <sz val="10"/>
        <rFont val="맑은 고딕"/>
        <family val="0"/>
        <charset val="1"/>
      </rPr>
      <t xml:space="preserve">THE </t>
    </r>
    <r>
      <rPr>
        <sz val="10"/>
        <rFont val="Noto Sans CJK SC"/>
        <family val="2"/>
      </rPr>
      <t xml:space="preserve">서비스 워커는 </t>
    </r>
    <r>
      <rPr>
        <sz val="10"/>
        <rFont val="맑은 고딕"/>
        <family val="0"/>
        <charset val="1"/>
      </rPr>
      <t xml:space="preserve">SHALL </t>
    </r>
    <r>
      <rPr>
        <sz val="10"/>
        <rFont val="Noto Sans CJK SC"/>
        <family val="2"/>
      </rPr>
      <t xml:space="preserve">그 북마크 </t>
    </r>
    <r>
      <rPr>
        <sz val="10"/>
        <rFont val="맑은 고딕"/>
        <family val="0"/>
        <charset val="1"/>
      </rPr>
      <t xml:space="preserve">ID</t>
    </r>
    <r>
      <rPr>
        <sz val="10"/>
        <rFont val="Noto Sans CJK SC"/>
        <family val="2"/>
      </rPr>
      <t xml:space="preserve">를 </t>
    </r>
    <r>
      <rPr>
        <sz val="10"/>
        <rFont val="맑은 고딕"/>
        <family val="0"/>
        <charset val="1"/>
      </rPr>
      <t xml:space="preserve">newBookmarks</t>
    </r>
    <r>
      <rPr>
        <sz val="10"/>
        <rFont val="Noto Sans CJK SC"/>
        <family val="2"/>
      </rPr>
      <t xml:space="preserve">에 추가하고</t>
    </r>
    <r>
      <rPr>
        <sz val="10"/>
        <rFont val="맑은 고딕"/>
        <family val="0"/>
        <charset val="1"/>
      </rPr>
      <t xml:space="preserve">, </t>
    </r>
    <r>
      <rPr>
        <sz val="10"/>
        <rFont val="Noto Sans CJK SC"/>
        <family val="2"/>
      </rPr>
      <t xml:space="preserve">새 탭 화면은 그 앱을 </t>
    </r>
    <r>
      <rPr>
        <sz val="10"/>
        <rFont val="맑은 고딕"/>
        <family val="0"/>
        <charset val="1"/>
      </rPr>
      <t xml:space="preserve">"</t>
    </r>
    <r>
      <rPr>
        <sz val="10"/>
        <rFont val="Noto Sans CJK SC"/>
        <family val="2"/>
      </rPr>
      <t xml:space="preserve">새로</t>
    </r>
    <r>
      <rPr>
        <sz val="10"/>
        <rFont val="맑은 고딕"/>
        <family val="0"/>
        <charset val="1"/>
      </rPr>
      <t xml:space="preserve">" </t>
    </r>
    <r>
      <rPr>
        <sz val="10"/>
        <rFont val="Noto Sans CJK SC"/>
        <family val="2"/>
      </rPr>
      <t xml:space="preserve">표시와 함께 표시한다</t>
    </r>
    <r>
      <rPr>
        <sz val="10"/>
        <rFont val="맑은 고딕"/>
        <family val="0"/>
        <charset val="1"/>
      </rPr>
      <t xml:space="preserve">.</t>
    </r>
  </si>
  <si>
    <t xml:space="preserve">2-11, 3-6</t>
  </si>
  <si>
    <t xml:space="preserve">수정(v2) · 실행 확인(v4): 새 프로필에서 별 버튼(Ctrl+D)의 기본 저장 위치는 북마크바였고, 저장 창이 열리는 순간 이미 저장됨</t>
  </si>
  <si>
    <t xml:space="preserve">F10-02</t>
  </si>
  <si>
    <r>
      <rPr>
        <sz val="10"/>
        <rFont val="맑은 고딕"/>
        <family val="0"/>
        <charset val="1"/>
      </rPr>
      <t xml:space="preserve">WHILE newBookmarks</t>
    </r>
    <r>
      <rPr>
        <sz val="10"/>
        <rFont val="Noto Sans CJK SC"/>
        <family val="2"/>
      </rPr>
      <t xml:space="preserve">에 북마크가 </t>
    </r>
    <r>
      <rPr>
        <sz val="10"/>
        <rFont val="맑은 고딕"/>
        <family val="0"/>
        <charset val="1"/>
      </rPr>
      <t xml:space="preserve">1</t>
    </r>
    <r>
      <rPr>
        <sz val="10"/>
        <rFont val="Noto Sans CJK SC"/>
        <family val="2"/>
      </rPr>
      <t xml:space="preserve">개 이상 있는 동안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헤더에 </t>
    </r>
    <r>
      <rPr>
        <sz val="10"/>
        <rFont val="맑은 고딕"/>
        <family val="0"/>
        <charset val="1"/>
      </rPr>
      <t xml:space="preserve">[</t>
    </r>
    <r>
      <rPr>
        <sz val="10"/>
        <rFont val="Noto Sans CJK SC"/>
        <family val="2"/>
      </rPr>
      <t xml:space="preserve">정리하기 </t>
    </r>
    <r>
      <rPr>
        <sz val="10"/>
        <rFont val="맑은 고딕"/>
        <family val="0"/>
        <charset val="1"/>
      </rPr>
      <t xml:space="preserve">· N] </t>
    </r>
    <r>
      <rPr>
        <sz val="10"/>
        <rFont val="Noto Sans CJK SC"/>
        <family val="2"/>
      </rPr>
      <t xml:space="preserve">버튼을 개수와 함께 표시한다</t>
    </r>
    <r>
      <rPr>
        <sz val="10"/>
        <rFont val="맑은 고딕"/>
        <family val="0"/>
        <charset val="1"/>
      </rPr>
      <t xml:space="preserve">.</t>
    </r>
  </si>
  <si>
    <t xml:space="preserve">F10-03</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</si>
  <si>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새 북마크가 생겨도 팝업이나 시스템 알림을 띄우지 않는다</t>
    </r>
    <r>
      <rPr>
        <sz val="10"/>
        <rFont val="맑은 고딕"/>
        <family val="0"/>
        <charset val="1"/>
      </rPr>
      <t xml:space="preserve">.</t>
    </r>
  </si>
  <si>
    <t xml:space="preserve">F10-04</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</si>
  <si>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정리하기 </t>
    </r>
    <r>
      <rPr>
        <sz val="10"/>
        <rFont val="맑은 고딕"/>
        <family val="0"/>
        <charset val="1"/>
      </rPr>
      <t xml:space="preserve">· N]</t>
    </r>
    <r>
      <rPr>
        <sz val="10"/>
        <rFont val="Noto Sans CJK SC"/>
        <family val="2"/>
      </rPr>
      <t xml:space="preserve">을 누르면 </t>
    </r>
    <r>
      <rPr>
        <sz val="10"/>
        <rFont val="맑은 고딕"/>
        <family val="0"/>
        <charset val="1"/>
      </rPr>
      <t xml:space="preserve">THE </t>
    </r>
    <r>
      <rPr>
        <sz val="10"/>
        <rFont val="Noto Sans CJK SC"/>
        <family val="2"/>
      </rPr>
      <t xml:space="preserve">정리 창은 </t>
    </r>
    <r>
      <rPr>
        <sz val="10"/>
        <rFont val="맑은 고딕"/>
        <family val="0"/>
        <charset val="1"/>
      </rPr>
      <t xml:space="preserve">SHALL </t>
    </r>
    <r>
      <rPr>
        <sz val="10"/>
        <rFont val="Noto Sans CJK SC"/>
        <family val="2"/>
      </rPr>
      <t xml:space="preserve">새 북마크마다 추천 폴더가 미리 선택된 목록을 표시한다</t>
    </r>
    <r>
      <rPr>
        <sz val="10"/>
        <rFont val="맑은 고딕"/>
        <family val="0"/>
        <charset val="1"/>
      </rPr>
      <t xml:space="preserve">.</t>
    </r>
  </si>
  <si>
    <t xml:space="preserve">F10-05</t>
  </si>
  <si>
    <r>
      <rPr>
        <sz val="10"/>
        <rFont val="맑은 고딕"/>
        <family val="0"/>
        <charset val="1"/>
      </rPr>
      <t xml:space="preserve">WHEN </t>
    </r>
    <r>
      <rPr>
        <sz val="10"/>
        <rFont val="Noto Sans CJK SC"/>
        <family val="2"/>
      </rPr>
      <t xml:space="preserve">사용자가 추천 폴더가 골라진 그대로</t>
    </r>
    <r>
      <rPr>
        <sz val="10"/>
        <rFont val="맑은 고딕"/>
        <family val="0"/>
        <charset val="1"/>
      </rPr>
      <t xml:space="preserve">, </t>
    </r>
    <r>
      <rPr>
        <sz val="10"/>
        <rFont val="Noto Sans CJK SC"/>
        <family val="2"/>
      </rPr>
      <t xml:space="preserve">또는 폴더를 직접 바꾼 뒤 </t>
    </r>
    <r>
      <rPr>
        <sz val="10"/>
        <rFont val="맑은 고딕"/>
        <family val="0"/>
        <charset val="1"/>
      </rPr>
      <t xml:space="preserve">[</t>
    </r>
    <r>
      <rPr>
        <sz val="10"/>
        <rFont val="Noto Sans CJK SC"/>
        <family val="2"/>
      </rPr>
      <t xml:space="preserve">정리하기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북마크를 한 번에 옮기고 </t>
    </r>
    <r>
      <rPr>
        <sz val="10"/>
        <rFont val="맑은 고딕"/>
        <family val="0"/>
        <charset val="1"/>
      </rPr>
      <t xml:space="preserve">history</t>
    </r>
    <r>
      <rPr>
        <sz val="10"/>
        <rFont val="Noto Sans CJK SC"/>
        <family val="2"/>
      </rPr>
      <t xml:space="preserve">에 기록하며</t>
    </r>
    <r>
      <rPr>
        <sz val="10"/>
        <rFont val="맑은 고딕"/>
        <family val="0"/>
        <charset val="1"/>
      </rPr>
      <t xml:space="preserve">, </t>
    </r>
    <r>
      <rPr>
        <sz val="10"/>
        <rFont val="Noto Sans CJK SC"/>
        <family val="2"/>
      </rPr>
      <t xml:space="preserve">처리한 북마크는 </t>
    </r>
    <r>
      <rPr>
        <sz val="10"/>
        <rFont val="맑은 고딕"/>
        <family val="0"/>
        <charset val="1"/>
      </rPr>
      <t xml:space="preserve">"</t>
    </r>
    <r>
      <rPr>
        <sz val="10"/>
        <rFont val="Noto Sans CJK SC"/>
        <family val="2"/>
      </rPr>
      <t xml:space="preserve">새로</t>
    </r>
    <r>
      <rPr>
        <sz val="10"/>
        <rFont val="맑은 고딕"/>
        <family val="0"/>
        <charset val="1"/>
      </rPr>
      <t xml:space="preserve">" </t>
    </r>
    <r>
      <rPr>
        <sz val="10"/>
        <rFont val="Noto Sans CJK SC"/>
        <family val="2"/>
      </rPr>
      <t xml:space="preserve">표시와 버튼 개수에서 뺀다</t>
    </r>
    <r>
      <rPr>
        <sz val="10"/>
        <rFont val="맑은 고딕"/>
        <family val="0"/>
        <charset val="1"/>
      </rPr>
      <t xml:space="preserve">.</t>
    </r>
  </si>
  <si>
    <t xml:space="preserve">수정(v9): 확정 시안에서 버튼을 [정리하기] 하나로 통일 / 옮긴 북마크는 서비스 워커가 newBookmarks에서 지우고, '그대로 두기'로 둔 북마크는 새 탭이 handledNew에 기록</t>
  </si>
  <si>
    <t xml:space="preserve">팀원 C, 팀원 D</t>
  </si>
  <si>
    <t xml:space="preserve">F10-06</t>
  </si>
  <si>
    <r>
      <rPr>
        <sz val="10"/>
        <rFont val="맑은 고딕"/>
        <family val="0"/>
        <charset val="1"/>
      </rPr>
      <t xml:space="preserve">WHEN </t>
    </r>
    <r>
      <rPr>
        <sz val="10"/>
        <rFont val="Noto Sans CJK SC"/>
        <family val="2"/>
      </rPr>
      <t xml:space="preserve">폴더 밖에 같은 카테고리의 북마크가 </t>
    </r>
    <r>
      <rPr>
        <sz val="10"/>
        <rFont val="맑은 고딕"/>
        <family val="0"/>
        <charset val="1"/>
      </rPr>
      <t xml:space="preserve">3</t>
    </r>
    <r>
      <rPr>
        <sz val="10"/>
        <rFont val="Noto Sans CJK SC"/>
        <family val="2"/>
      </rPr>
      <t xml:space="preserve">개 이상 모이고 폴더 수가 최대 개수 미만이면 </t>
    </r>
    <r>
      <rPr>
        <sz val="10"/>
        <rFont val="맑은 고딕"/>
        <family val="0"/>
        <charset val="1"/>
      </rPr>
      <t xml:space="preserve">THE </t>
    </r>
    <r>
      <rPr>
        <sz val="10"/>
        <rFont val="Noto Sans CJK SC"/>
        <family val="2"/>
      </rPr>
      <t xml:space="preserve">정리 창은 </t>
    </r>
    <r>
      <rPr>
        <sz val="10"/>
        <rFont val="맑은 고딕"/>
        <family val="0"/>
        <charset val="1"/>
      </rPr>
      <t xml:space="preserve">SHALL "</t>
    </r>
    <r>
      <rPr>
        <sz val="10"/>
        <rFont val="Noto Sans CJK SC"/>
        <family val="2"/>
      </rPr>
      <t xml:space="preserve">폴더로 만들까요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</si>
  <si>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확정(v5) · 실행 확인: 우리가 만든 폴더 수(history의 createdFolderIds 중 남아 있는 것)가, 폴더 밖 정리 대상과 우리 폴더 안 북마크를 합친 수로 정한 상한보다 적을 때만 제안</t>
  </si>
  <si>
    <t xml:space="preserve">F10-07</t>
  </si>
  <si>
    <r>
      <rPr>
        <sz val="10"/>
        <rFont val="맑은 고딕"/>
        <family val="0"/>
        <charset val="1"/>
      </rPr>
      <t xml:space="preserve">IF </t>
    </r>
    <r>
      <rPr>
        <sz val="10"/>
        <rFont val="Noto Sans CJK SC"/>
        <family val="2"/>
      </rPr>
      <t xml:space="preserve">새 북마크가 분류되지 않았거나 해당 카테고리의 폴더가 없으면 </t>
    </r>
    <r>
      <rPr>
        <sz val="10"/>
        <rFont val="맑은 고딕"/>
        <family val="0"/>
        <charset val="1"/>
      </rPr>
      <t xml:space="preserve">THEN THE </t>
    </r>
    <r>
      <rPr>
        <sz val="10"/>
        <rFont val="Noto Sans CJK SC"/>
        <family val="2"/>
      </rPr>
      <t xml:space="preserve">정리 창은 </t>
    </r>
    <r>
      <rPr>
        <sz val="10"/>
        <rFont val="맑은 고딕"/>
        <family val="0"/>
        <charset val="1"/>
      </rPr>
      <t xml:space="preserve">SHALL "</t>
    </r>
    <r>
      <rPr>
        <sz val="10"/>
        <rFont val="Noto Sans CJK SC"/>
        <family val="2"/>
      </rPr>
      <t xml:space="preserve">그대로 두기</t>
    </r>
    <r>
      <rPr>
        <sz val="10"/>
        <rFont val="맑은 고딕"/>
        <family val="0"/>
        <charset val="1"/>
      </rPr>
      <t xml:space="preserve">"</t>
    </r>
    <r>
      <rPr>
        <sz val="10"/>
        <rFont val="Noto Sans CJK SC"/>
        <family val="2"/>
      </rPr>
      <t xml:space="preserve">를 기본으로 선택해 둔다</t>
    </r>
    <r>
      <rPr>
        <sz val="10"/>
        <rFont val="맑은 고딕"/>
        <family val="0"/>
        <charset val="1"/>
      </rPr>
      <t xml:space="preserve">.</t>
    </r>
  </si>
  <si>
    <t xml:space="preserve">제안: 추천 폴더가 없을 때의 기본값</t>
  </si>
  <si>
    <t xml:space="preserve">F10-08</t>
  </si>
  <si>
    <r>
      <rPr>
        <sz val="10"/>
        <rFont val="맑은 고딕"/>
        <family val="0"/>
        <charset val="1"/>
      </rPr>
      <t xml:space="preserve">WHEN </t>
    </r>
    <r>
      <rPr>
        <sz val="10"/>
        <rFont val="Noto Sans CJK SC"/>
        <family val="2"/>
      </rPr>
      <t xml:space="preserve">사용자가 새 북마크를 직접 다른 폴더로 옮기면</t>
    </r>
    <r>
      <rPr>
        <sz val="10"/>
        <rFont val="맑은 고딕"/>
        <family val="0"/>
        <charset val="1"/>
      </rPr>
      <t xml:space="preserve">(</t>
    </r>
    <r>
      <rPr>
        <sz val="10"/>
        <rFont val="Noto Sans CJK SC"/>
        <family val="2"/>
      </rPr>
      <t xml:space="preserve">별 버튼 창에서 폴더를 바꾼 경우 포함</t>
    </r>
    <r>
      <rPr>
        <sz val="10"/>
        <rFont val="맑은 고딕"/>
        <family val="0"/>
        <charset val="1"/>
      </rPr>
      <t xml:space="preserve">) THE </t>
    </r>
    <r>
      <rPr>
        <sz val="10"/>
        <rFont val="Noto Sans CJK SC"/>
        <family val="2"/>
      </rPr>
      <t xml:space="preserve">서비스 워커는 </t>
    </r>
    <r>
      <rPr>
        <sz val="10"/>
        <rFont val="맑은 고딕"/>
        <family val="0"/>
        <charset val="1"/>
      </rPr>
      <t xml:space="preserve">SHALL </t>
    </r>
    <r>
      <rPr>
        <sz val="10"/>
        <rFont val="Noto Sans CJK SC"/>
        <family val="2"/>
      </rPr>
      <t xml:space="preserve">그 북마크를 </t>
    </r>
    <r>
      <rPr>
        <sz val="10"/>
        <rFont val="맑은 고딕"/>
        <family val="0"/>
        <charset val="1"/>
      </rPr>
      <t xml:space="preserve">newBookmarks</t>
    </r>
    <r>
      <rPr>
        <sz val="10"/>
        <rFont val="Noto Sans CJK SC"/>
        <family val="2"/>
      </rPr>
      <t xml:space="preserve">에서 지운다</t>
    </r>
    <r>
      <rPr>
        <sz val="10"/>
        <rFont val="맑은 고딕"/>
        <family val="0"/>
        <charset val="1"/>
      </rPr>
      <t xml:space="preserve">.</t>
    </r>
  </si>
  <si>
    <t xml:space="preserve">추가(v2) · 실행 확인(v4): 별 버튼 창에서 폴더를 바꾸면 '저장 → 이동' 순서로 알림이 오고, 직접 옮김으로 기록됨</t>
  </si>
  <si>
    <t xml:space="preserve">F10-09</t>
  </si>
  <si>
    <r>
      <rPr>
        <sz val="10"/>
        <rFont val="맑은 고딕"/>
        <family val="0"/>
        <charset val="1"/>
      </rPr>
      <t xml:space="preserve">IF </t>
    </r>
    <r>
      <rPr>
        <sz val="10"/>
        <rFont val="Noto Sans CJK SC"/>
        <family val="2"/>
      </rPr>
      <t xml:space="preserve">북마크가 사용자 폴더 안에 바로 저장되면 </t>
    </r>
    <r>
      <rPr>
        <sz val="10"/>
        <rFont val="맑은 고딕"/>
        <family val="0"/>
        <charset val="1"/>
      </rPr>
      <t xml:space="preserve">THEN THE </t>
    </r>
    <r>
      <rPr>
        <sz val="10"/>
        <rFont val="Noto Sans CJK SC"/>
        <family val="2"/>
      </rPr>
      <t xml:space="preserve">서비스 워커는 </t>
    </r>
    <r>
      <rPr>
        <sz val="10"/>
        <rFont val="맑은 고딕"/>
        <family val="0"/>
        <charset val="1"/>
      </rPr>
      <t xml:space="preserve">SHALL </t>
    </r>
    <r>
      <rPr>
        <sz val="10"/>
        <rFont val="Noto Sans CJK SC"/>
        <family val="2"/>
      </rPr>
      <t xml:space="preserve">그 북마크를 </t>
    </r>
    <r>
      <rPr>
        <sz val="10"/>
        <rFont val="맑은 고딕"/>
        <family val="0"/>
        <charset val="1"/>
      </rPr>
      <t xml:space="preserve">newBookmarks</t>
    </r>
    <r>
      <rPr>
        <sz val="10"/>
        <rFont val="Noto Sans CJK SC"/>
        <family val="2"/>
      </rPr>
      <t xml:space="preserve">에 추가하지 않는다</t>
    </r>
    <r>
      <rPr>
        <sz val="10"/>
        <rFont val="맑은 고딕"/>
        <family val="0"/>
        <charset val="1"/>
      </rPr>
      <t xml:space="preserve">.</t>
    </r>
  </si>
  <si>
    <t xml:space="preserve">확정(v5): 폴더를 지정해 저장한 북마크는 새 북마크로 세지 않음</t>
  </si>
  <si>
    <t xml:space="preserve">F11-01</t>
  </si>
  <si>
    <r>
      <rPr>
        <sz val="10"/>
        <rFont val="맑은 고딕"/>
        <family val="0"/>
        <charset val="1"/>
      </rPr>
      <t xml:space="preserve">WHEN </t>
    </r>
    <r>
      <rPr>
        <sz val="10"/>
        <rFont val="Noto Sans CJK SC"/>
        <family val="2"/>
      </rPr>
      <t xml:space="preserve">사용자가 웹 검색창에 검색어를 입력하고 </t>
    </r>
    <r>
      <rPr>
        <sz val="10"/>
        <rFont val="맑은 고딕"/>
        <family val="0"/>
        <charset val="1"/>
      </rPr>
      <t xml:space="preserve">Enter</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사용자가 크롬에 설정한 기본 검색엔진의 검색 결과를 현재 탭에 연다</t>
    </r>
    <r>
      <rPr>
        <sz val="10"/>
        <rFont val="맑은 고딕"/>
        <family val="0"/>
        <charset val="1"/>
      </rPr>
      <t xml:space="preserve">.</t>
    </r>
  </si>
  <si>
    <t xml:space="preserve">2-14, 3-7</t>
  </si>
  <si>
    <t xml:space="preserve">F11-02</t>
  </si>
  <si>
    <r>
      <rPr>
        <sz val="10"/>
        <rFont val="맑은 고딕"/>
        <family val="0"/>
        <charset val="1"/>
      </rPr>
      <t xml:space="preserve">WHEN </t>
    </r>
    <r>
      <rPr>
        <sz val="10"/>
        <rFont val="Noto Sans CJK SC"/>
        <family val="2"/>
      </rPr>
      <t xml:space="preserve">입력이 </t>
    </r>
    <r>
      <rPr>
        <sz val="10"/>
        <rFont val="맑은 고딕"/>
        <family val="0"/>
        <charset val="1"/>
      </rPr>
      <t xml:space="preserve">http:// </t>
    </r>
    <r>
      <rPr>
        <sz val="10"/>
        <rFont val="Noto Sans CJK SC"/>
        <family val="2"/>
      </rPr>
      <t xml:space="preserve">또는 </t>
    </r>
    <r>
      <rPr>
        <sz val="10"/>
        <rFont val="맑은 고딕"/>
        <family val="0"/>
        <charset val="1"/>
      </rPr>
      <t xml:space="preserve">https://</t>
    </r>
    <r>
      <rPr>
        <sz val="10"/>
        <rFont val="Noto Sans CJK SC"/>
        <family val="2"/>
      </rPr>
      <t xml:space="preserve">로 시작하거나</t>
    </r>
    <r>
      <rPr>
        <sz val="10"/>
        <rFont val="맑은 고딕"/>
        <family val="0"/>
        <charset val="1"/>
      </rPr>
      <t xml:space="preserve">, </t>
    </r>
    <r>
      <rPr>
        <sz val="10"/>
        <rFont val="Noto Sans CJK SC"/>
        <family val="2"/>
      </rPr>
      <t xml:space="preserve">띄어쓰기 없이 점</t>
    </r>
    <r>
      <rPr>
        <sz val="10"/>
        <rFont val="맑은 고딕"/>
        <family val="0"/>
        <charset val="1"/>
      </rPr>
      <t xml:space="preserve">(.)</t>
    </r>
    <r>
      <rPr>
        <sz val="10"/>
        <rFont val="Noto Sans CJK SC"/>
        <family val="2"/>
      </rPr>
      <t xml:space="preserve">을 포함하면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검색하지 않고 그 주소로 이동한다</t>
    </r>
    <r>
      <rPr>
        <sz val="10"/>
        <rFont val="맑은 고딕"/>
        <family val="0"/>
        <charset val="1"/>
      </rPr>
      <t xml:space="preserve">.</t>
    </r>
  </si>
  <si>
    <t xml:space="preserve">알려진 한계: "node.js"처럼 점이 든 검색어도 주소로 처리됨. 계획 문서의 규칙 그대로</t>
  </si>
  <si>
    <t xml:space="preserve">F11-03</t>
  </si>
  <si>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웹 검색창에 자동 포커스를 주지 않아</t>
    </r>
    <r>
      <rPr>
        <sz val="10"/>
        <rFont val="맑은 고딕"/>
        <family val="0"/>
        <charset val="1"/>
      </rPr>
      <t xml:space="preserve">, </t>
    </r>
    <r>
      <rPr>
        <sz val="10"/>
        <rFont val="Noto Sans CJK SC"/>
        <family val="2"/>
      </rPr>
      <t xml:space="preserve">새 탭을 연 직후의 입력이 크롬 주소창으로 들어가게 한다</t>
    </r>
    <r>
      <rPr>
        <sz val="10"/>
        <rFont val="맑은 고딕"/>
        <family val="0"/>
        <charset val="1"/>
      </rPr>
      <t xml:space="preserve">.</t>
    </r>
  </si>
  <si>
    <t xml:space="preserve">F11-04</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</si>
  <si>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검색어 자동완성을 제공하지 않고</t>
    </r>
    <r>
      <rPr>
        <sz val="10"/>
        <rFont val="맑은 고딕"/>
        <family val="0"/>
        <charset val="1"/>
      </rPr>
      <t xml:space="preserve">, Enter</t>
    </r>
    <r>
      <rPr>
        <sz val="10"/>
        <rFont val="Noto Sans CJK SC"/>
        <family val="2"/>
      </rPr>
      <t xml:space="preserve">를 누르기 전에는 입력한 글자를 어디에도 전송하지 않는다</t>
    </r>
    <r>
      <rPr>
        <sz val="10"/>
        <rFont val="맑은 고딕"/>
        <family val="0"/>
        <charset val="1"/>
      </rPr>
      <t xml:space="preserve">.</t>
    </r>
  </si>
  <si>
    <t xml:space="preserve">F11-05</t>
  </si>
  <si>
    <r>
      <rPr>
        <sz val="10"/>
        <rFont val="맑은 고딕"/>
        <family val="0"/>
        <charset val="1"/>
      </rPr>
      <t xml:space="preserve">IF </t>
    </r>
    <r>
      <rPr>
        <sz val="10"/>
        <rFont val="Noto Sans CJK SC"/>
        <family val="2"/>
      </rPr>
      <t xml:space="preserve">입력이 비어 있거나 공백뿐이면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아무 동작도 하지 않는다</t>
    </r>
    <r>
      <rPr>
        <sz val="10"/>
        <rFont val="맑은 고딕"/>
        <family val="0"/>
        <charset val="1"/>
      </rPr>
      <t xml:space="preserve">.</t>
    </r>
  </si>
  <si>
    <t xml:space="preserve">F12-01</t>
  </si>
  <si>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위에서부터 헤더</t>
    </r>
    <r>
      <rPr>
        <sz val="10"/>
        <rFont val="맑은 고딕"/>
        <family val="0"/>
        <charset val="1"/>
      </rPr>
      <t xml:space="preserve">(</t>
    </r>
    <r>
      <rPr>
        <sz val="10"/>
        <rFont val="Noto Sans CJK SC"/>
        <family val="2"/>
      </rPr>
      <t xml:space="preserve">내 폴더</t>
    </r>
    <r>
      <rPr>
        <sz val="10"/>
        <rFont val="맑은 고딕"/>
        <family val="0"/>
        <charset val="1"/>
      </rPr>
      <t xml:space="preserve">·</t>
    </r>
    <r>
      <rPr>
        <sz val="10"/>
        <rFont val="Noto Sans CJK SC"/>
        <family val="2"/>
      </rPr>
      <t xml:space="preserve">모든 북마크 이동 버튼</t>
    </r>
    <r>
      <rPr>
        <sz val="10"/>
        <rFont val="맑은 고딕"/>
        <family val="0"/>
        <charset val="1"/>
      </rPr>
      <t xml:space="preserve">, [</t>
    </r>
    <r>
      <rPr>
        <sz val="10"/>
        <rFont val="Noto Sans CJK SC"/>
        <family val="2"/>
      </rPr>
      <t xml:space="preserve">정리하기</t>
    </r>
    <r>
      <rPr>
        <sz val="10"/>
        <rFont val="맑은 고딕"/>
        <family val="0"/>
        <charset val="1"/>
      </rPr>
      <t xml:space="preserve">], </t>
    </r>
    <r>
      <rPr>
        <sz val="10"/>
        <rFont val="Noto Sans CJK SC"/>
        <family val="2"/>
      </rPr>
      <t xml:space="preserve">정리 기록 버튼</t>
    </r>
    <r>
      <rPr>
        <sz val="10"/>
        <rFont val="맑은 고딕"/>
        <family val="0"/>
        <charset val="1"/>
      </rPr>
      <t xml:space="preserve">), </t>
    </r>
    <r>
      <rPr>
        <sz val="10"/>
        <rFont val="Noto Sans CJK SC"/>
        <family val="2"/>
      </rPr>
      <t xml:space="preserve">날짜</t>
    </r>
    <r>
      <rPr>
        <sz val="10"/>
        <rFont val="맑은 고딕"/>
        <family val="0"/>
        <charset val="1"/>
      </rPr>
      <t xml:space="preserve">, </t>
    </r>
    <r>
      <rPr>
        <sz val="10"/>
        <rFont val="Noto Sans CJK SC"/>
        <family val="2"/>
      </rPr>
      <t xml:space="preserve">웹 검색창</t>
    </r>
    <r>
      <rPr>
        <sz val="10"/>
        <rFont val="맑은 고딕"/>
        <family val="0"/>
        <charset val="1"/>
      </rPr>
      <t xml:space="preserve">, </t>
    </r>
    <r>
      <rPr>
        <sz val="10"/>
        <rFont val="Noto Sans CJK SC"/>
        <family val="2"/>
      </rPr>
      <t xml:space="preserve">앱 폴더</t>
    </r>
    <r>
      <rPr>
        <sz val="10"/>
        <rFont val="맑은 고딕"/>
        <family val="0"/>
        <charset val="1"/>
      </rPr>
      <t xml:space="preserve">(</t>
    </r>
    <r>
      <rPr>
        <sz val="10"/>
        <rFont val="Noto Sans CJK SC"/>
        <family val="2"/>
      </rPr>
      <t xml:space="preserve">맨 앞에 잊고 있던 북마크</t>
    </r>
    <r>
      <rPr>
        <sz val="10"/>
        <rFont val="맑은 고딕"/>
        <family val="0"/>
        <charset val="1"/>
      </rPr>
      <t xml:space="preserve">), </t>
    </r>
    <r>
      <rPr>
        <sz val="10"/>
        <rFont val="Noto Sans CJK SC"/>
        <family val="2"/>
      </rPr>
      <t xml:space="preserve">모든 북마크</t>
    </r>
    <r>
      <rPr>
        <sz val="10"/>
        <rFont val="맑은 고딕"/>
        <family val="0"/>
        <charset val="1"/>
      </rPr>
      <t xml:space="preserve">(</t>
    </r>
    <r>
      <rPr>
        <sz val="10"/>
        <rFont val="Noto Sans CJK SC"/>
        <family val="2"/>
      </rPr>
      <t xml:space="preserve">북마크 검색창 포함</t>
    </r>
    <r>
      <rPr>
        <sz val="10"/>
        <rFont val="맑은 고딕"/>
        <family val="0"/>
        <charset val="1"/>
      </rPr>
      <t xml:space="preserve">) </t>
    </r>
    <r>
      <rPr>
        <sz val="10"/>
        <rFont val="Noto Sans CJK SC"/>
        <family val="2"/>
      </rPr>
      <t xml:space="preserve">순서로 배치하고</t>
    </r>
    <r>
      <rPr>
        <sz val="10"/>
        <rFont val="맑은 고딕"/>
        <family val="0"/>
        <charset val="1"/>
      </rPr>
      <t xml:space="preserve">, </t>
    </r>
    <r>
      <rPr>
        <sz val="10"/>
        <rFont val="Noto Sans CJK SC"/>
        <family val="2"/>
      </rPr>
      <t xml:space="preserve">고정됨</t>
    </r>
    <r>
      <rPr>
        <sz val="10"/>
        <rFont val="맑은 고딕"/>
        <family val="0"/>
        <charset val="1"/>
      </rPr>
      <t xml:space="preserve">(</t>
    </r>
    <r>
      <rPr>
        <sz val="10"/>
        <rFont val="Noto Sans CJK SC"/>
        <family val="2"/>
      </rPr>
      <t xml:space="preserve">독</t>
    </r>
    <r>
      <rPr>
        <sz val="10"/>
        <rFont val="맑은 고딕"/>
        <family val="0"/>
        <charset val="1"/>
      </rPr>
      <t xml:space="preserve">)</t>
    </r>
    <r>
      <rPr>
        <sz val="10"/>
        <rFont val="Noto Sans CJK SC"/>
        <family val="2"/>
      </rPr>
      <t xml:space="preserve">은 화면 맨 아래에서 </t>
    </r>
    <r>
      <rPr>
        <sz val="10"/>
        <rFont val="맑은 고딕"/>
        <family val="0"/>
        <charset val="1"/>
      </rPr>
      <t xml:space="preserve">72px </t>
    </r>
    <r>
      <rPr>
        <sz val="10"/>
        <rFont val="Noto Sans CJK SC"/>
        <family val="2"/>
      </rPr>
      <t xml:space="preserve">이상 띄워 화면 아래에 고정한다</t>
    </r>
    <r>
      <rPr>
        <sz val="10"/>
        <rFont val="맑은 고딕"/>
        <family val="0"/>
        <charset val="1"/>
      </rPr>
      <t xml:space="preserve">.</t>
    </r>
  </si>
  <si>
    <t xml:space="preserve">3-8, 3-13</t>
  </si>
  <si>
    <t xml:space="preserve">수정(v9): 확정 시안 반영. 고정됨을 화면 아래에 띄우고, 설정 버튼·인사말·날씨는 두지 않음 / 실행 확인(v3): 크롬이 확장 프로그램 새 탭의 맨 아래에 확장 프로그램 이름과 [Chrome 맞춤설정] 버튼이 있는 띠(약 56px)를 붙임. 화면 설계에서 아래쪽을 비워 둘 것</t>
  </si>
  <si>
    <t xml:space="preserve">F12-02</t>
  </si>
  <si>
    <r>
      <rPr>
        <sz val="10"/>
        <rFont val="맑은 고딕"/>
        <family val="0"/>
        <charset val="1"/>
      </rPr>
      <t xml:space="preserve">WHEN </t>
    </r>
    <r>
      <rPr>
        <sz val="10"/>
        <rFont val="Noto Sans CJK SC"/>
        <family val="2"/>
      </rPr>
      <t xml:space="preserve">사용자가 창 너비를 바꾸면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한 줄에 놓이는 앱</t>
    </r>
    <r>
      <rPr>
        <sz val="10"/>
        <rFont val="맑은 고딕"/>
        <family val="0"/>
        <charset val="1"/>
      </rPr>
      <t xml:space="preserve">·</t>
    </r>
    <r>
      <rPr>
        <sz val="10"/>
        <rFont val="Noto Sans CJK SC"/>
        <family val="2"/>
      </rPr>
      <t xml:space="preserve">폴더 개수를 창 너비에 맞게 바꾸고 가로 스크롤을 만들지 않는다</t>
    </r>
    <r>
      <rPr>
        <sz val="10"/>
        <rFont val="맑은 고딕"/>
        <family val="0"/>
        <charset val="1"/>
      </rPr>
      <t xml:space="preserve">.</t>
    </r>
  </si>
  <si>
    <t xml:space="preserve">확정(v9): 확정 시안에서 480px·768px·1280px 폭을 확인. 최소 480px</t>
  </si>
  <si>
    <t xml:space="preserve">F12-03</t>
  </si>
  <si>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첫 정리 카드</t>
    </r>
    <r>
      <rPr>
        <sz val="10"/>
        <rFont val="맑은 고딕"/>
        <family val="0"/>
        <charset val="1"/>
      </rPr>
      <t xml:space="preserve">, </t>
    </r>
    <r>
      <rPr>
        <sz val="10"/>
        <rFont val="Noto Sans CJK SC"/>
        <family val="2"/>
      </rPr>
      <t xml:space="preserve">앱 폴더</t>
    </r>
    <r>
      <rPr>
        <sz val="10"/>
        <rFont val="맑은 고딕"/>
        <family val="0"/>
        <charset val="1"/>
      </rPr>
      <t xml:space="preserve">, </t>
    </r>
    <r>
      <rPr>
        <sz val="10"/>
        <rFont val="Noto Sans CJK SC"/>
        <family val="2"/>
      </rPr>
      <t xml:space="preserve">정리 창을 메인 화면 위에 어둡게 겹친 팝업으로 표시한다</t>
    </r>
    <r>
      <rPr>
        <sz val="10"/>
        <rFont val="맑은 고딕"/>
        <family val="0"/>
        <charset val="1"/>
      </rPr>
      <t xml:space="preserve">.</t>
    </r>
  </si>
  <si>
    <t xml:space="preserve">F12-04</t>
  </si>
  <si>
    <r>
      <rPr>
        <sz val="10"/>
        <rFont val="맑은 고딕"/>
        <family val="0"/>
        <charset val="1"/>
      </rPr>
      <t xml:space="preserve">WHEN </t>
    </r>
    <r>
      <rPr>
        <sz val="10"/>
        <rFont val="Noto Sans CJK SC"/>
        <family val="2"/>
      </rPr>
      <t xml:space="preserve">사용자가 </t>
    </r>
    <r>
      <rPr>
        <sz val="10"/>
        <rFont val="맑은 고딕"/>
        <family val="0"/>
        <charset val="1"/>
      </rPr>
      <t xml:space="preserve">Esc</t>
    </r>
    <r>
      <rPr>
        <sz val="10"/>
        <rFont val="Noto Sans CJK SC"/>
        <family val="2"/>
      </rPr>
      <t xml:space="preserve">를 누르거나 팝업 바깥을 클릭하면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팝업을 닫는다</t>
    </r>
    <r>
      <rPr>
        <sz val="10"/>
        <rFont val="맑은 고딕"/>
        <family val="0"/>
        <charset val="1"/>
      </rPr>
      <t xml:space="preserve">.</t>
    </r>
  </si>
  <si>
    <t xml:space="preserve">제안
확정(v11): 팝업은 공통 함수 없이 HTML의 &lt;dialog&gt; 요소와 newtab.css의 공통 모양으로 만든다. Esc로 닫기는 &lt;dialog&gt;의 기본 동작</t>
  </si>
  <si>
    <t xml:space="preserve">F13-01</t>
  </si>
  <si>
    <r>
      <rPr>
        <sz val="10"/>
        <rFont val="맑은 고딕"/>
        <family val="0"/>
        <charset val="1"/>
      </rPr>
      <t xml:space="preserve">WHEN </t>
    </r>
    <r>
      <rPr>
        <sz val="10"/>
        <rFont val="Noto Sans CJK SC"/>
        <family val="2"/>
      </rPr>
      <t xml:space="preserve">사용자가 헤더의 정리 기록 버튼을 누르면 </t>
    </r>
    <r>
      <rPr>
        <sz val="10"/>
        <rFont val="맑은 고딕"/>
        <family val="0"/>
        <charset val="1"/>
      </rPr>
      <t xml:space="preserve">THE </t>
    </r>
    <r>
      <rPr>
        <sz val="10"/>
        <rFont val="Noto Sans CJK SC"/>
        <family val="2"/>
      </rPr>
      <t xml:space="preserve">정리 기록 화면은 </t>
    </r>
    <r>
      <rPr>
        <sz val="10"/>
        <rFont val="맑은 고딕"/>
        <family val="0"/>
        <charset val="1"/>
      </rPr>
      <t xml:space="preserve">SHALL </t>
    </r>
    <r>
      <rPr>
        <sz val="10"/>
        <rFont val="Noto Sans CJK SC"/>
        <family val="2"/>
      </rPr>
      <t xml:space="preserve">정리 내역을 최신순으로 날짜</t>
    </r>
    <r>
      <rPr>
        <sz val="10"/>
        <rFont val="맑은 고딕"/>
        <family val="0"/>
        <charset val="1"/>
      </rPr>
      <t xml:space="preserve">·</t>
    </r>
    <r>
      <rPr>
        <sz val="10"/>
        <rFont val="Noto Sans CJK SC"/>
        <family val="2"/>
      </rPr>
      <t xml:space="preserve">종류</t>
    </r>
    <r>
      <rPr>
        <sz val="10"/>
        <rFont val="맑은 고딕"/>
        <family val="0"/>
        <charset val="1"/>
      </rPr>
      <t xml:space="preserve">(</t>
    </r>
    <r>
      <rPr>
        <sz val="10"/>
        <rFont val="Noto Sans CJK SC"/>
        <family val="2"/>
      </rPr>
      <t xml:space="preserve">첫 정리</t>
    </r>
    <r>
      <rPr>
        <sz val="10"/>
        <rFont val="맑은 고딕"/>
        <family val="0"/>
        <charset val="1"/>
      </rPr>
      <t xml:space="preserve">, </t>
    </r>
    <r>
      <rPr>
        <sz val="10"/>
        <rFont val="Noto Sans CJK SC"/>
        <family val="2"/>
      </rPr>
      <t xml:space="preserve">새 북마크 정리</t>
    </r>
    <r>
      <rPr>
        <sz val="10"/>
        <rFont val="맑은 고딕"/>
        <family val="0"/>
        <charset val="1"/>
      </rPr>
      <t xml:space="preserve">)·</t>
    </r>
    <r>
      <rPr>
        <sz val="10"/>
        <rFont val="Noto Sans CJK SC"/>
        <family val="2"/>
      </rPr>
      <t xml:space="preserve">이동 개수와 함께 표시한다</t>
    </r>
    <r>
      <rPr>
        <sz val="10"/>
        <rFont val="맑은 고딕"/>
        <family val="0"/>
        <charset val="1"/>
      </rPr>
      <t xml:space="preserve">.</t>
    </r>
  </si>
  <si>
    <t xml:space="preserve">정리 기록</t>
  </si>
  <si>
    <t xml:space="preserve">2-12, 3-9</t>
  </si>
  <si>
    <t xml:space="preserve">수정(v9): 메뉴를 거치지 않고 헤더 버튼으로 바로 엶</t>
  </si>
  <si>
    <t xml:space="preserve">F13-02</t>
  </si>
  <si>
    <r>
      <rPr>
        <sz val="10"/>
        <rFont val="맑은 고딕"/>
        <family val="0"/>
        <charset val="1"/>
      </rPr>
      <t xml:space="preserve">WHEN </t>
    </r>
    <r>
      <rPr>
        <sz val="10"/>
        <rFont val="Noto Sans CJK SC"/>
        <family val="2"/>
      </rPr>
      <t xml:space="preserve">사용자가 내역 하나를 펼치면 </t>
    </r>
    <r>
      <rPr>
        <sz val="10"/>
        <rFont val="맑은 고딕"/>
        <family val="0"/>
        <charset val="1"/>
      </rPr>
      <t xml:space="preserve">THE </t>
    </r>
    <r>
      <rPr>
        <sz val="10"/>
        <rFont val="Noto Sans CJK SC"/>
        <family val="2"/>
      </rPr>
      <t xml:space="preserve">정리 기록 화면은 </t>
    </r>
    <r>
      <rPr>
        <sz val="10"/>
        <rFont val="맑은 고딕"/>
        <family val="0"/>
        <charset val="1"/>
      </rPr>
      <t xml:space="preserve">SHALL </t>
    </r>
    <r>
      <rPr>
        <sz val="10"/>
        <rFont val="Noto Sans CJK SC"/>
        <family val="2"/>
      </rPr>
      <t xml:space="preserve">북마크별로 </t>
    </r>
    <r>
      <rPr>
        <sz val="10"/>
        <rFont val="맑은 고딕"/>
        <family val="0"/>
        <charset val="1"/>
      </rPr>
      <t xml:space="preserve">"</t>
    </r>
    <r>
      <rPr>
        <sz val="10"/>
        <rFont val="Noto Sans CJK SC"/>
        <family val="2"/>
      </rPr>
      <t xml:space="preserve">원래 위치 → 옮긴 폴더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</si>
  <si>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F13-03</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</si>
  <si>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되돌리기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정리에서 옮긴 북마크를 원래 폴더로 되돌리되</t>
    </r>
    <r>
      <rPr>
        <sz val="10"/>
        <rFont val="맑은 고딕"/>
        <family val="0"/>
        <charset val="1"/>
      </rPr>
      <t xml:space="preserve">, </t>
    </r>
    <r>
      <rPr>
        <sz val="10"/>
        <rFont val="Noto Sans CJK SC"/>
        <family val="2"/>
      </rPr>
      <t xml:space="preserve">각 북마크를 원래 순서에서 바로 앞에 있던 북마크의 바로 뒤에 놓고</t>
    </r>
    <r>
      <rPr>
        <sz val="10"/>
        <rFont val="맑은 고딕"/>
        <family val="0"/>
        <charset val="1"/>
      </rPr>
      <t xml:space="preserve">, </t>
    </r>
    <r>
      <rPr>
        <sz val="10"/>
        <rFont val="Noto Sans CJK SC"/>
        <family val="2"/>
      </rPr>
      <t xml:space="preserve">그 내역에 되돌린 시각을 기록한다</t>
    </r>
    <r>
      <rPr>
        <sz val="10"/>
        <rFont val="맑은 고딕"/>
        <family val="0"/>
        <charset val="1"/>
      </rPr>
      <t xml:space="preserve">.</t>
    </r>
  </si>
  <si>
    <t xml:space="preserve">수정(v4) · 실행 확인: 순서 번호로 되돌리면, 일부가 빠지거나(직접 옮김·삭제) 원래 폴더가 그사이 바뀌었을 때 순서가 어긋남. 이웃 기준으로 바꾼 뒤 추가·삭제가 섞여도 순서가 유지됨</t>
  </si>
  <si>
    <t xml:space="preserve">F13-04</t>
  </si>
  <si>
    <r>
      <rPr>
        <sz val="10"/>
        <rFont val="맑은 고딕"/>
        <family val="0"/>
        <charset val="1"/>
      </rPr>
      <t xml:space="preserve">WHEN </t>
    </r>
    <r>
      <rPr>
        <sz val="10"/>
        <rFont val="Noto Sans CJK SC"/>
        <family val="2"/>
      </rPr>
      <t xml:space="preserve">되돌리기가 끝나고 그 정리가 만든 폴더가 비어 있으면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빈 폴더를 삭제한다</t>
    </r>
    <r>
      <rPr>
        <sz val="10"/>
        <rFont val="맑은 고딕"/>
        <family val="0"/>
        <charset val="1"/>
      </rPr>
      <t xml:space="preserve">.</t>
    </r>
  </si>
  <si>
    <t xml:space="preserve">확정(v5): 그 정리가 만든 폴더만 지움. 원래 있던 폴더는 비어도 남김</t>
  </si>
  <si>
    <t xml:space="preserve">F13-05</t>
  </si>
  <si>
    <r>
      <rPr>
        <sz val="10"/>
        <rFont val="맑은 고딕"/>
        <family val="0"/>
        <charset val="1"/>
      </rPr>
      <t xml:space="preserve">IF </t>
    </r>
    <r>
      <rPr>
        <sz val="10"/>
        <rFont val="Noto Sans CJK SC"/>
        <family val="2"/>
      </rPr>
      <t xml:space="preserve">북마크가 지금 그 정리가 옮겨 넣은 폴더에 있지 않으면</t>
    </r>
    <r>
      <rPr>
        <sz val="10"/>
        <rFont val="맑은 고딕"/>
        <family val="0"/>
        <charset val="1"/>
      </rPr>
      <t xml:space="preserve">(</t>
    </r>
    <r>
      <rPr>
        <sz val="10"/>
        <rFont val="Noto Sans CJK SC"/>
        <family val="2"/>
      </rPr>
      <t xml:space="preserve">정리 뒤에 사용자가 직접 옮김</t>
    </r>
    <r>
      <rPr>
        <sz val="10"/>
        <rFont val="맑은 고딕"/>
        <family val="0"/>
        <charset val="1"/>
      </rPr>
      <t xml:space="preserve">) THEN 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북마크를 되돌리지 않고 지금 위치에 둔다</t>
    </r>
    <r>
      <rPr>
        <sz val="10"/>
        <rFont val="맑은 고딕"/>
        <family val="0"/>
        <charset val="1"/>
      </rPr>
      <t xml:space="preserve">.</t>
    </r>
  </si>
  <si>
    <t xml:space="preserve">수정(v2): 직접 옮김 여부를 기록이 아닌 '지금 들어 있는 폴더'로 판별</t>
  </si>
  <si>
    <t xml:space="preserve">F13-06</t>
  </si>
  <si>
    <r>
      <rPr>
        <sz val="10"/>
        <rFont val="맑은 고딕"/>
        <family val="0"/>
        <charset val="1"/>
      </rPr>
      <t xml:space="preserve">IF </t>
    </r>
    <r>
      <rPr>
        <sz val="10"/>
        <rFont val="Noto Sans CJK SC"/>
        <family val="2"/>
      </rPr>
      <t xml:space="preserve">원래 순서에서 앞에 있던 북마크가 원래 폴더에 하나도 남아 있지 않으면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북마크를 원래 폴더의 맨 앞에 놓는다</t>
    </r>
    <r>
      <rPr>
        <sz val="10"/>
        <rFont val="맑은 고딕"/>
        <family val="0"/>
        <charset val="1"/>
      </rPr>
      <t xml:space="preserve">.</t>
    </r>
  </si>
  <si>
    <t xml:space="preserve">수정(v4): 이웃 기준 복원의 예외. 순서 번호를 직접 쓰지 않으므로 범위 초과 오류도 생기지 않음</t>
  </si>
  <si>
    <t xml:space="preserve">F13-07</t>
  </si>
  <si>
    <r>
      <rPr>
        <sz val="10"/>
        <rFont val="맑은 고딕"/>
        <family val="0"/>
        <charset val="1"/>
      </rPr>
      <t xml:space="preserve">IF </t>
    </r>
    <r>
      <rPr>
        <sz val="10"/>
        <rFont val="Noto Sans CJK SC"/>
        <family val="2"/>
      </rPr>
      <t xml:space="preserve">원래 폴더가 삭제돼 없으면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북마크를 기타 북마크로 되돌리고 </t>
    </r>
    <r>
      <rPr>
        <sz val="10"/>
        <rFont val="맑은 고딕"/>
        <family val="0"/>
        <charset val="1"/>
      </rPr>
      <t xml:space="preserve">"</t>
    </r>
    <r>
      <rPr>
        <sz val="10"/>
        <rFont val="Noto Sans CJK SC"/>
        <family val="2"/>
      </rPr>
      <t xml:space="preserve">원래 폴더가 없어 기타 북마크로 되돌렸어요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</si>
  <si>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F13-08</t>
  </si>
  <si>
    <r>
      <rPr>
        <sz val="10"/>
        <rFont val="맑은 고딕"/>
        <family val="0"/>
        <charset val="1"/>
      </rPr>
      <t xml:space="preserve">IF </t>
    </r>
    <r>
      <rPr>
        <sz val="10"/>
        <rFont val="Noto Sans CJK SC"/>
        <family val="2"/>
      </rPr>
      <t xml:space="preserve">되돌릴 북마크가 이미 삭제됐으면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북마크를 건너뛴다</t>
    </r>
    <r>
      <rPr>
        <sz val="10"/>
        <rFont val="맑은 고딕"/>
        <family val="0"/>
        <charset val="1"/>
      </rPr>
      <t xml:space="preserve">.</t>
    </r>
  </si>
  <si>
    <t xml:space="preserve">F13-09</t>
  </si>
  <si>
    <r>
      <rPr>
        <sz val="10"/>
        <rFont val="맑은 고딕"/>
        <family val="0"/>
        <charset val="1"/>
      </rPr>
      <t xml:space="preserve">IF </t>
    </r>
    <r>
      <rPr>
        <sz val="10"/>
        <rFont val="Noto Sans CJK SC"/>
        <family val="2"/>
      </rPr>
      <t xml:space="preserve">이미 되돌린 내역이면 </t>
    </r>
    <r>
      <rPr>
        <sz val="10"/>
        <rFont val="맑은 고딕"/>
        <family val="0"/>
        <charset val="1"/>
      </rPr>
      <t xml:space="preserve">THEN THE </t>
    </r>
    <r>
      <rPr>
        <sz val="10"/>
        <rFont val="Noto Sans CJK SC"/>
        <family val="2"/>
      </rPr>
      <t xml:space="preserve">정리 기록 화면은 </t>
    </r>
    <r>
      <rPr>
        <sz val="10"/>
        <rFont val="맑은 고딕"/>
        <family val="0"/>
        <charset val="1"/>
      </rPr>
      <t xml:space="preserve">SHALL [</t>
    </r>
    <r>
      <rPr>
        <sz val="10"/>
        <rFont val="Noto Sans CJK SC"/>
        <family val="2"/>
      </rPr>
      <t xml:space="preserve">되돌리기</t>
    </r>
    <r>
      <rPr>
        <sz val="10"/>
        <rFont val="맑은 고딕"/>
        <family val="0"/>
        <charset val="1"/>
      </rPr>
      <t xml:space="preserve">] </t>
    </r>
    <r>
      <rPr>
        <sz val="10"/>
        <rFont val="Noto Sans CJK SC"/>
        <family val="2"/>
      </rPr>
      <t xml:space="preserve">버튼 대신 </t>
    </r>
    <r>
      <rPr>
        <sz val="10"/>
        <rFont val="맑은 고딕"/>
        <family val="0"/>
        <charset val="1"/>
      </rPr>
      <t xml:space="preserve">"</t>
    </r>
    <r>
      <rPr>
        <sz val="10"/>
        <rFont val="Noto Sans CJK SC"/>
        <family val="2"/>
      </rPr>
      <t xml:space="preserve">되돌림</t>
    </r>
    <r>
      <rPr>
        <sz val="10"/>
        <rFont val="맑은 고딕"/>
        <family val="0"/>
        <charset val="1"/>
      </rPr>
      <t xml:space="preserve">"</t>
    </r>
    <r>
      <rPr>
        <sz val="10"/>
        <rFont val="Noto Sans CJK SC"/>
        <family val="2"/>
      </rPr>
      <t xml:space="preserve">을 표시한다</t>
    </r>
    <r>
      <rPr>
        <sz val="10"/>
        <rFont val="맑은 고딕"/>
        <family val="0"/>
        <charset val="1"/>
      </rPr>
      <t xml:space="preserve">.</t>
    </r>
  </si>
  <si>
    <t xml:space="preserve">F13-10</t>
  </si>
  <si>
    <r>
      <rPr>
        <sz val="10"/>
        <rFont val="맑은 고딕"/>
        <family val="0"/>
        <charset val="1"/>
      </rPr>
      <t xml:space="preserve">IF </t>
    </r>
    <r>
      <rPr>
        <sz val="10"/>
        <rFont val="Noto Sans CJK SC"/>
        <family val="2"/>
      </rPr>
      <t xml:space="preserve">정리 내역이 하나도 없으면 </t>
    </r>
    <r>
      <rPr>
        <sz val="10"/>
        <rFont val="맑은 고딕"/>
        <family val="0"/>
        <charset val="1"/>
      </rPr>
      <t xml:space="preserve">THEN THE </t>
    </r>
    <r>
      <rPr>
        <sz val="10"/>
        <rFont val="Noto Sans CJK SC"/>
        <family val="2"/>
      </rPr>
      <t xml:space="preserve">정리 기록 화면은 </t>
    </r>
    <r>
      <rPr>
        <sz val="10"/>
        <rFont val="맑은 고딕"/>
        <family val="0"/>
        <charset val="1"/>
      </rPr>
      <t xml:space="preserve">SHALL "</t>
    </r>
    <r>
      <rPr>
        <sz val="10"/>
        <rFont val="Noto Sans CJK SC"/>
        <family val="2"/>
      </rPr>
      <t xml:space="preserve">아직 정리한 기록이 없어요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</si>
  <si>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F14-01</t>
  </si>
  <si>
    <r>
      <rPr>
        <sz val="10"/>
        <rFont val="맑은 고딕"/>
        <family val="0"/>
        <charset val="1"/>
      </rPr>
      <t xml:space="preserve">WHEN </t>
    </r>
    <r>
      <rPr>
        <sz val="10"/>
        <rFont val="Noto Sans CJK SC"/>
        <family val="2"/>
      </rPr>
      <t xml:space="preserve">사용자가 북마크 검색창에 글자를 입력할 때마다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제목 또는 주소에 그 글자가 포함된 북마크</t>
    </r>
    <r>
      <rPr>
        <sz val="10"/>
        <rFont val="맑은 고딕"/>
        <family val="0"/>
        <charset val="1"/>
      </rPr>
      <t xml:space="preserve">(</t>
    </r>
    <r>
      <rPr>
        <sz val="10"/>
        <rFont val="Noto Sans CJK SC"/>
        <family val="2"/>
      </rPr>
      <t xml:space="preserve">영문 대소문자 구분 없음</t>
    </r>
    <r>
      <rPr>
        <sz val="10"/>
        <rFont val="맑은 고딕"/>
        <family val="0"/>
        <charset val="1"/>
      </rPr>
      <t xml:space="preserve">)</t>
    </r>
    <r>
      <rPr>
        <sz val="10"/>
        <rFont val="Noto Sans CJK SC"/>
        <family val="2"/>
      </rPr>
      <t xml:space="preserve">를 검색창 바로 아래에 리스트로 표시한다</t>
    </r>
    <r>
      <rPr>
        <sz val="10"/>
        <rFont val="맑은 고딕"/>
        <family val="0"/>
        <charset val="1"/>
      </rPr>
      <t xml:space="preserve">.</t>
    </r>
  </si>
  <si>
    <t xml:space="preserve">2-14, 3-10</t>
  </si>
  <si>
    <t xml:space="preserve">확인 필요(v9): 확정 시안은 결과를 모든 북마크 영역에 격자로 보여 줌. 리스트(폴더 이름 표시)와 격자 중 어느 쪽으로 할지 P2를 시작할 때 정함. 웹 검색창과는 연동하지 않음 / 제안: 일치 기준은 부분 일치, 대소문자 무시</t>
  </si>
  <si>
    <t xml:space="preserve">F14-02</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</si>
  <si>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폴더 안에 있는 북마크까지 포함해 전체 북마크에서 찾는다</t>
    </r>
    <r>
      <rPr>
        <sz val="10"/>
        <rFont val="맑은 고딕"/>
        <family val="0"/>
        <charset val="1"/>
      </rPr>
      <t xml:space="preserve">.</t>
    </r>
  </si>
  <si>
    <t xml:space="preserve">F14-03</t>
  </si>
  <si>
    <r>
      <rPr>
        <sz val="10"/>
        <rFont val="맑은 고딕"/>
        <family val="0"/>
        <charset val="1"/>
      </rPr>
      <t xml:space="preserve">THE </t>
    </r>
    <r>
      <rPr>
        <sz val="10"/>
        <rFont val="Noto Sans CJK SC"/>
        <family val="2"/>
      </rPr>
      <t xml:space="preserve">검색 결과 리스트는 </t>
    </r>
    <r>
      <rPr>
        <sz val="10"/>
        <rFont val="맑은 고딕"/>
        <family val="0"/>
        <charset val="1"/>
      </rPr>
      <t xml:space="preserve">SHALL </t>
    </r>
    <r>
      <rPr>
        <sz val="10"/>
        <rFont val="Noto Sans CJK SC"/>
        <family val="2"/>
      </rPr>
      <t xml:space="preserve">한 줄에 사이트 아이콘</t>
    </r>
    <r>
      <rPr>
        <sz val="10"/>
        <rFont val="맑은 고딕"/>
        <family val="0"/>
        <charset val="1"/>
      </rPr>
      <t xml:space="preserve">, </t>
    </r>
    <r>
      <rPr>
        <sz val="10"/>
        <rFont val="Noto Sans CJK SC"/>
        <family val="2"/>
      </rPr>
      <t xml:space="preserve">제목</t>
    </r>
    <r>
      <rPr>
        <sz val="10"/>
        <rFont val="맑은 고딕"/>
        <family val="0"/>
        <charset val="1"/>
      </rPr>
      <t xml:space="preserve">, </t>
    </r>
    <r>
      <rPr>
        <sz val="10"/>
        <rFont val="Noto Sans CJK SC"/>
        <family val="2"/>
      </rPr>
      <t xml:space="preserve">주소</t>
    </r>
    <r>
      <rPr>
        <sz val="10"/>
        <rFont val="맑은 고딕"/>
        <family val="0"/>
        <charset val="1"/>
      </rPr>
      <t xml:space="preserve">, </t>
    </r>
    <r>
      <rPr>
        <sz val="10"/>
        <rFont val="Noto Sans CJK SC"/>
        <family val="2"/>
      </rPr>
      <t xml:space="preserve">들어 있는 폴더 이름을 표시한다</t>
    </r>
    <r>
      <rPr>
        <sz val="10"/>
        <rFont val="맑은 고딕"/>
        <family val="0"/>
        <charset val="1"/>
      </rPr>
      <t xml:space="preserve">.</t>
    </r>
  </si>
  <si>
    <t xml:space="preserve">F14-04</t>
  </si>
  <si>
    <r>
      <rPr>
        <sz val="10"/>
        <rFont val="맑은 고딕"/>
        <family val="0"/>
        <charset val="1"/>
      </rPr>
      <t xml:space="preserve">WHEN </t>
    </r>
    <r>
      <rPr>
        <sz val="10"/>
        <rFont val="Noto Sans CJK SC"/>
        <family val="2"/>
      </rPr>
      <t xml:space="preserve">사용자가 결과 한 줄을 클릭하면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페이지를 열고 연 시각을 기록한다</t>
    </r>
    <r>
      <rPr>
        <sz val="10"/>
        <rFont val="맑은 고딕"/>
        <family val="0"/>
        <charset val="1"/>
      </rPr>
      <t xml:space="preserve">.</t>
    </r>
  </si>
  <si>
    <t xml:space="preserve">F14-05</t>
  </si>
  <si>
    <r>
      <rPr>
        <sz val="10"/>
        <rFont val="맑은 고딕"/>
        <family val="0"/>
        <charset val="1"/>
      </rPr>
      <t xml:space="preserve">IF </t>
    </r>
    <r>
      <rPr>
        <sz val="10"/>
        <rFont val="Noto Sans CJK SC"/>
        <family val="2"/>
      </rPr>
      <t xml:space="preserve">일치하는 북마크가 없으면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일치하는 북마크가 없어요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</si>
  <si>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제안: 문구</t>
  </si>
  <si>
    <t xml:space="preserve">F14-06</t>
  </si>
  <si>
    <r>
      <rPr>
        <sz val="10"/>
        <rFont val="맑은 고딕"/>
        <family val="0"/>
        <charset val="1"/>
      </rPr>
      <t xml:space="preserve">IF </t>
    </r>
    <r>
      <rPr>
        <sz val="10"/>
        <rFont val="Noto Sans CJK SC"/>
        <family val="2"/>
      </rPr>
      <t xml:space="preserve">검색창이 비워지면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결과 리스트를 닫는다</t>
    </r>
    <r>
      <rPr>
        <sz val="10"/>
        <rFont val="맑은 고딕"/>
        <family val="0"/>
        <charset val="1"/>
      </rPr>
      <t xml:space="preserve">.</t>
    </r>
  </si>
  <si>
    <t xml:space="preserve">F15-01</t>
  </si>
  <si>
    <r>
      <rPr>
        <sz val="10"/>
        <rFont val="맑은 고딕"/>
        <family val="0"/>
        <charset val="1"/>
      </rPr>
      <t xml:space="preserve">WHEN </t>
    </r>
    <r>
      <rPr>
        <sz val="10"/>
        <rFont val="Noto Sans CJK SC"/>
        <family val="2"/>
      </rPr>
      <t xml:space="preserve">사용자가 앱을 우클릭하면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브라우저 기본 메뉴 대신 </t>
    </r>
    <r>
      <rPr>
        <sz val="10"/>
        <rFont val="맑은 고딕"/>
        <family val="0"/>
        <charset val="1"/>
      </rPr>
      <t xml:space="preserve">"</t>
    </r>
    <r>
      <rPr>
        <sz val="10"/>
        <rFont val="Noto Sans CJK SC"/>
        <family val="2"/>
      </rPr>
      <t xml:space="preserve">새 탭에서 열기</t>
    </r>
    <r>
      <rPr>
        <sz val="10"/>
        <rFont val="맑은 고딕"/>
        <family val="0"/>
        <charset val="1"/>
      </rPr>
      <t xml:space="preserve">", "</t>
    </r>
    <r>
      <rPr>
        <sz val="10"/>
        <rFont val="Noto Sans CJK SC"/>
        <family val="2"/>
      </rPr>
      <t xml:space="preserve">고정하기</t>
    </r>
    <r>
      <rPr>
        <sz val="10"/>
        <rFont val="맑은 고딕"/>
        <family val="0"/>
        <charset val="1"/>
      </rPr>
      <t xml:space="preserve">", "</t>
    </r>
    <r>
      <rPr>
        <sz val="10"/>
        <rFont val="Noto Sans CJK SC"/>
        <family val="2"/>
      </rPr>
      <t xml:space="preserve">폴더로 이동</t>
    </r>
    <r>
      <rPr>
        <sz val="10"/>
        <rFont val="맑은 고딕"/>
        <family val="0"/>
        <charset val="1"/>
      </rPr>
      <t xml:space="preserve">" </t>
    </r>
    <r>
      <rPr>
        <sz val="10"/>
        <rFont val="Noto Sans CJK SC"/>
        <family val="2"/>
      </rPr>
      <t xml:space="preserve">메뉴를 표시한다</t>
    </r>
    <r>
      <rPr>
        <sz val="10"/>
        <rFont val="맑은 고딕"/>
        <family val="0"/>
        <charset val="1"/>
      </rPr>
      <t xml:space="preserve">.</t>
    </r>
  </si>
  <si>
    <t xml:space="preserve">3-11</t>
  </si>
  <si>
    <t xml:space="preserve">팀원 B, 팀원 D</t>
  </si>
  <si>
    <t xml:space="preserve">F15-02</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</si>
  <si>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폴더로 이동</t>
    </r>
    <r>
      <rPr>
        <sz val="10"/>
        <rFont val="맑은 고딕"/>
        <family val="0"/>
        <charset val="1"/>
      </rPr>
      <t xml:space="preserve">"</t>
    </r>
    <r>
      <rPr>
        <sz val="10"/>
        <rFont val="Noto Sans CJK SC"/>
        <family val="2"/>
      </rPr>
      <t xml:space="preserve">에서 폴더를 고르면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북마크를 그 폴더로 옮기고</t>
    </r>
    <r>
      <rPr>
        <sz val="10"/>
        <rFont val="맑은 고딕"/>
        <family val="0"/>
        <charset val="1"/>
      </rPr>
      <t xml:space="preserve">(</t>
    </r>
    <r>
      <rPr>
        <sz val="10"/>
        <rFont val="Noto Sans CJK SC"/>
        <family val="2"/>
      </rPr>
      <t xml:space="preserve">크롬 북마크 관리자에도 반영</t>
    </r>
    <r>
      <rPr>
        <sz val="10"/>
        <rFont val="맑은 고딕"/>
        <family val="0"/>
        <charset val="1"/>
      </rPr>
      <t xml:space="preserve">), </t>
    </r>
    <r>
      <rPr>
        <sz val="10"/>
        <rFont val="Noto Sans CJK SC"/>
        <family val="2"/>
      </rPr>
      <t xml:space="preserve">서비스 워커가 </t>
    </r>
    <r>
      <rPr>
        <sz val="10"/>
        <rFont val="맑은 고딕"/>
        <family val="0"/>
        <charset val="1"/>
      </rPr>
      <t xml:space="preserve">manualMoves</t>
    </r>
    <r>
      <rPr>
        <sz val="10"/>
        <rFont val="Noto Sans CJK SC"/>
        <family val="2"/>
      </rPr>
      <t xml:space="preserve">에 기록한다</t>
    </r>
    <r>
      <rPr>
        <sz val="10"/>
        <rFont val="맑은 고딕"/>
        <family val="0"/>
        <charset val="1"/>
      </rPr>
      <t xml:space="preserve">.</t>
    </r>
  </si>
  <si>
    <t xml:space="preserve">F15-03</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</si>
  <si>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새 탭에서 열기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새 탭에서 그 주소를 열고 연 시각을 기록한다</t>
    </r>
    <r>
      <rPr>
        <sz val="10"/>
        <rFont val="맑은 고딕"/>
        <family val="0"/>
        <charset val="1"/>
      </rPr>
      <t xml:space="preserve">.</t>
    </r>
  </si>
  <si>
    <t xml:space="preserve">F15-04</t>
  </si>
  <si>
    <r>
      <rPr>
        <sz val="10"/>
        <rFont val="맑은 고딕"/>
        <family val="0"/>
        <charset val="1"/>
      </rPr>
      <t xml:space="preserve">IF </t>
    </r>
    <r>
      <rPr>
        <sz val="10"/>
        <rFont val="Noto Sans CJK SC"/>
        <family val="2"/>
      </rPr>
      <t xml:space="preserve">우클릭한 앱이 이미 독에 고정돼 있으면 </t>
    </r>
    <r>
      <rPr>
        <sz val="10"/>
        <rFont val="맑은 고딕"/>
        <family val="0"/>
        <charset val="1"/>
      </rPr>
      <t xml:space="preserve">THEN THE </t>
    </r>
    <r>
      <rPr>
        <sz val="10"/>
        <rFont val="Noto Sans CJK SC"/>
        <family val="2"/>
      </rPr>
      <t xml:space="preserve">메뉴는 </t>
    </r>
    <r>
      <rPr>
        <sz val="10"/>
        <rFont val="맑은 고딕"/>
        <family val="0"/>
        <charset val="1"/>
      </rPr>
      <t xml:space="preserve">SHALL "</t>
    </r>
    <r>
      <rPr>
        <sz val="10"/>
        <rFont val="Noto Sans CJK SC"/>
        <family val="2"/>
      </rPr>
      <t xml:space="preserve">고정하기</t>
    </r>
    <r>
      <rPr>
        <sz val="10"/>
        <rFont val="맑은 고딕"/>
        <family val="0"/>
        <charset val="1"/>
      </rPr>
      <t xml:space="preserve">" </t>
    </r>
    <r>
      <rPr>
        <sz val="10"/>
        <rFont val="Noto Sans CJK SC"/>
        <family val="2"/>
      </rPr>
      <t xml:space="preserve">대신 </t>
    </r>
    <r>
      <rPr>
        <sz val="10"/>
        <rFont val="맑은 고딕"/>
        <family val="0"/>
        <charset val="1"/>
      </rPr>
      <t xml:space="preserve">"</t>
    </r>
    <r>
      <rPr>
        <sz val="10"/>
        <rFont val="Noto Sans CJK SC"/>
        <family val="2"/>
      </rPr>
      <t xml:space="preserve">고정 해제</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</si>
  <si>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F15-05</t>
  </si>
  <si>
    <r>
      <rPr>
        <sz val="10"/>
        <rFont val="맑은 고딕"/>
        <family val="0"/>
        <charset val="1"/>
      </rPr>
      <t xml:space="preserve">IF </t>
    </r>
    <r>
      <rPr>
        <sz val="10"/>
        <rFont val="Noto Sans CJK SC"/>
        <family val="2"/>
      </rPr>
      <t xml:space="preserve">사용자가 지금 들어 있는 폴더를 고르면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북마크를 옮기지 않고 </t>
    </r>
    <r>
      <rPr>
        <sz val="10"/>
        <rFont val="맑은 고딕"/>
        <family val="0"/>
        <charset val="1"/>
      </rPr>
      <t xml:space="preserve">manualMoves</t>
    </r>
    <r>
      <rPr>
        <sz val="10"/>
        <rFont val="Noto Sans CJK SC"/>
        <family val="2"/>
      </rPr>
      <t xml:space="preserve">에도 기록하지 않는다</t>
    </r>
    <r>
      <rPr>
        <sz val="10"/>
        <rFont val="맑은 고딕"/>
        <family val="0"/>
        <charset val="1"/>
      </rPr>
      <t xml:space="preserve">.</t>
    </r>
  </si>
  <si>
    <t xml:space="preserve">F16-01</t>
  </si>
  <si>
    <r>
      <rPr>
        <sz val="10"/>
        <rFont val="맑은 고딕"/>
        <family val="0"/>
        <charset val="1"/>
      </rPr>
      <t xml:space="preserve">WHEN </t>
    </r>
    <r>
      <rPr>
        <sz val="10"/>
        <rFont val="Noto Sans CJK SC"/>
        <family val="2"/>
      </rPr>
      <t xml:space="preserve">앱 폴더 안의 북마크가 </t>
    </r>
    <r>
      <rPr>
        <sz val="10"/>
        <rFont val="맑은 고딕"/>
        <family val="0"/>
        <charset val="1"/>
      </rPr>
      <t xml:space="preserve">20</t>
    </r>
    <r>
      <rPr>
        <sz val="10"/>
        <rFont val="Noto Sans CJK SC"/>
        <family val="2"/>
      </rPr>
      <t xml:space="preserve">개를 넘으면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제목에 반복되는 주제 단어 중 북마크 </t>
    </r>
    <r>
      <rPr>
        <sz val="10"/>
        <rFont val="맑은 고딕"/>
        <family val="0"/>
        <charset val="1"/>
      </rPr>
      <t xml:space="preserve">3</t>
    </r>
    <r>
      <rPr>
        <sz val="10"/>
        <rFont val="Noto Sans CJK SC"/>
        <family val="2"/>
      </rPr>
      <t xml:space="preserve">개 이상</t>
    </r>
    <r>
      <rPr>
        <sz val="10"/>
        <rFont val="맑은 고딕"/>
        <family val="0"/>
        <charset val="1"/>
      </rPr>
      <t xml:space="preserve">·</t>
    </r>
    <r>
      <rPr>
        <sz val="10"/>
        <rFont val="Noto Sans CJK SC"/>
        <family val="2"/>
      </rPr>
      <t xml:space="preserve">사이트 </t>
    </r>
    <r>
      <rPr>
        <sz val="10"/>
        <rFont val="맑은 고딕"/>
        <family val="0"/>
        <charset val="1"/>
      </rPr>
      <t xml:space="preserve">2</t>
    </r>
    <r>
      <rPr>
        <sz val="10"/>
        <rFont val="Noto Sans CJK SC"/>
        <family val="2"/>
      </rPr>
      <t xml:space="preserve">곳 이상에 나타나는 단어로 세부 폴더를 제안한다</t>
    </r>
    <r>
      <rPr>
        <sz val="10"/>
        <rFont val="맑은 고딕"/>
        <family val="0"/>
        <charset val="1"/>
      </rPr>
      <t xml:space="preserve">.</t>
    </r>
  </si>
  <si>
    <t xml:space="preserve">3-12</t>
  </si>
  <si>
    <t xml:space="preserve">F16-02</t>
  </si>
  <si>
    <r>
      <rPr>
        <sz val="10"/>
        <rFont val="맑은 고딕"/>
        <family val="0"/>
        <charset val="1"/>
      </rPr>
      <t xml:space="preserve">WHEN </t>
    </r>
    <r>
      <rPr>
        <sz val="10"/>
        <rFont val="Noto Sans CJK SC"/>
        <family val="2"/>
      </rPr>
      <t xml:space="preserve">사용자가 세부 폴더 제안을 수락하면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폴더 안에 세부 폴더를 만들어 북마크를 옮기고 </t>
    </r>
    <r>
      <rPr>
        <sz val="10"/>
        <rFont val="맑은 고딕"/>
        <family val="0"/>
        <charset val="1"/>
      </rPr>
      <t xml:space="preserve">history</t>
    </r>
    <r>
      <rPr>
        <sz val="10"/>
        <rFont val="Noto Sans CJK SC"/>
        <family val="2"/>
      </rPr>
      <t xml:space="preserve">에 기록한다</t>
    </r>
    <r>
      <rPr>
        <sz val="10"/>
        <rFont val="맑은 고딕"/>
        <family val="0"/>
        <charset val="1"/>
      </rPr>
      <t xml:space="preserve">.</t>
    </r>
  </si>
  <si>
    <t xml:space="preserve">F16-03</t>
  </si>
  <si>
    <r>
      <rPr>
        <sz val="10"/>
        <rFont val="맑은 고딕"/>
        <family val="0"/>
        <charset val="1"/>
      </rPr>
      <t xml:space="preserve">IF </t>
    </r>
    <r>
      <rPr>
        <sz val="10"/>
        <rFont val="Noto Sans CJK SC"/>
        <family val="2"/>
      </rPr>
      <t xml:space="preserve">조건에 맞는 주제 단어가 없으면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세부 폴더를 제안하지 않는다</t>
    </r>
    <r>
      <rPr>
        <sz val="10"/>
        <rFont val="맑은 고딕"/>
        <family val="0"/>
        <charset val="1"/>
      </rPr>
      <t xml:space="preserve">.</t>
    </r>
  </si>
  <si>
    <t xml:space="preserve">F17-01</t>
  </si>
  <si>
    <r>
      <rPr>
        <sz val="10"/>
        <rFont val="맑은 고딕"/>
        <family val="0"/>
        <charset val="1"/>
      </rPr>
      <t xml:space="preserve">WHEN </t>
    </r>
    <r>
      <rPr>
        <sz val="10"/>
        <rFont val="Noto Sans CJK SC"/>
        <family val="2"/>
      </rPr>
      <t xml:space="preserve">사용자가 점 </t>
    </r>
    <r>
      <rPr>
        <sz val="10"/>
        <rFont val="맑은 고딕"/>
        <family val="0"/>
        <charset val="1"/>
      </rPr>
      <t xml:space="preserve">6</t>
    </r>
    <r>
      <rPr>
        <sz val="10"/>
        <rFont val="Noto Sans CJK SC"/>
        <family val="2"/>
      </rPr>
      <t xml:space="preserve">개 손잡이로 앱을 끌어 앱 폴더 위에 놓으면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북마크를 그 폴더로 옮기고 </t>
    </r>
    <r>
      <rPr>
        <sz val="10"/>
        <rFont val="맑은 고딕"/>
        <family val="0"/>
        <charset val="1"/>
      </rPr>
      <t xml:space="preserve">manualMoves</t>
    </r>
    <r>
      <rPr>
        <sz val="10"/>
        <rFont val="Noto Sans CJK SC"/>
        <family val="2"/>
      </rPr>
      <t xml:space="preserve">에 기록한다</t>
    </r>
    <r>
      <rPr>
        <sz val="10"/>
        <rFont val="맑은 고딕"/>
        <family val="0"/>
        <charset val="1"/>
      </rPr>
      <t xml:space="preserve">.</t>
    </r>
  </si>
  <si>
    <t xml:space="preserve">F17-02</t>
  </si>
  <si>
    <r>
      <rPr>
        <sz val="10"/>
        <rFont val="맑은 고딕"/>
        <family val="0"/>
        <charset val="1"/>
      </rPr>
      <t xml:space="preserve">WHEN </t>
    </r>
    <r>
      <rPr>
        <sz val="10"/>
        <rFont val="Noto Sans CJK SC"/>
        <family val="2"/>
      </rPr>
      <t xml:space="preserve">사용자가 앱이나 폴더를 끌어 순서를 바꾸면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바뀐 순서를 크롬 북마크에 저장한다</t>
    </r>
    <r>
      <rPr>
        <sz val="10"/>
        <rFont val="맑은 고딕"/>
        <family val="0"/>
        <charset val="1"/>
      </rPr>
      <t xml:space="preserve">.</t>
    </r>
  </si>
  <si>
    <t xml:space="preserve">실행 확인(v3): 같은 폴더 안에서 뒤쪽으로 옮길 때는 지정한 번호보다 한 칸 앞에 놓임(3번으로 옮기면 2번이 됨). 뒤로 옮길 때는 번호에 1을 더함</t>
  </si>
  <si>
    <t xml:space="preserve">F17-03</t>
  </si>
  <si>
    <r>
      <rPr>
        <sz val="10"/>
        <rFont val="맑은 고딕"/>
        <family val="0"/>
        <charset val="1"/>
      </rPr>
      <t xml:space="preserve">IF </t>
    </r>
    <r>
      <rPr>
        <sz val="10"/>
        <rFont val="Noto Sans CJK SC"/>
        <family val="2"/>
      </rPr>
      <t xml:space="preserve">사용자가 놓을 수 없는 곳에 앱을 놓으면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앱을 원래 자리로 되돌리고 크롬 북마크를 바꾸지 않는다</t>
    </r>
    <r>
      <rPr>
        <sz val="10"/>
        <rFont val="맑은 고딕"/>
        <family val="0"/>
        <charset val="1"/>
      </rPr>
      <t xml:space="preserve">.</t>
    </r>
  </si>
  <si>
    <t xml:space="preserve">ID</t>
  </si>
  <si>
    <t xml:space="preserve">분류</t>
  </si>
  <si>
    <t xml:space="preserve">메서드 · 이벤트</t>
  </si>
  <si>
    <t xml:space="preserve">필요 권한</t>
  </si>
  <si>
    <t xml:space="preserve">입력</t>
  </si>
  <si>
    <t xml:space="preserve">출력 · 이벤트 값</t>
  </si>
  <si>
    <t xml:space="preserve">용도</t>
  </si>
  <si>
    <t xml:space="preserve">호출 위치</t>
  </si>
  <si>
    <t xml:space="preserve">주의 · 예외</t>
  </si>
  <si>
    <t xml:space="preserve">관련 기능</t>
  </si>
  <si>
    <t xml:space="preserve">C01</t>
  </si>
  <si>
    <t xml:space="preserve">manifest</t>
  </si>
  <si>
    <t xml:space="preserve">chrome_url_overrides.newtab</t>
  </si>
  <si>
    <t xml:space="preserve">없음 (설치 시 '새 탭 페이지 변경' 안내)</t>
  </si>
  <si>
    <t xml:space="preserve">"newtab.html"</t>
  </si>
  <si>
    <t xml:space="preserve">—</t>
  </si>
  <si>
    <t xml:space="preserve">새 탭을 확장 프로그램 화면으로 바꿈</t>
  </si>
  <si>
    <t xml:space="preserve">주소창 포커스는 크롬이 그대로 유지. 확장 프로그램 화면은 HTML 안에 직접 쓴 스크립트(&lt;script&gt;코드&lt;/script&gt;, onclick 속성)를 실행하지 못하므로 모든 코드는 .js 파일에 두고 addEventListener로 연결. eval과 new Function도 막힘(실행 확인)</t>
  </si>
  <si>
    <t xml:space="preserve">F11, F12</t>
  </si>
  <si>
    <t xml:space="preserve">C02</t>
  </si>
  <si>
    <t xml:space="preserve">background.service_worker</t>
  </si>
  <si>
    <t xml:space="preserve">없음</t>
  </si>
  <si>
    <t xml:space="preserve">"background.js", type: "module"</t>
  </si>
  <si>
    <t xml:space="preserve">새 탭이 닫혀 있어도 북마크 알림을 받음</t>
  </si>
  <si>
    <r>
      <rPr>
        <sz val="10"/>
        <rFont val="맑은 고딕"/>
        <family val="0"/>
        <charset val="1"/>
      </rPr>
      <t xml:space="preserve">30</t>
    </r>
    <r>
      <rPr>
        <sz val="10"/>
        <rFont val="Noto Sans CJK SC"/>
        <family val="2"/>
      </rPr>
      <t xml:space="preserve">초쯤 쉬면 꺼졌다가 알림이 오면 다시 켜짐</t>
    </r>
    <r>
      <rPr>
        <sz val="10"/>
        <rFont val="맑은 고딕"/>
        <family val="0"/>
        <charset val="1"/>
      </rPr>
      <t xml:space="preserve">. </t>
    </r>
    <r>
      <rPr>
        <sz val="10"/>
        <rFont val="Noto Sans CJK SC"/>
        <family val="2"/>
      </rPr>
      <t xml:space="preserve">변수에 상태를 두지 말고 저장소에 기록</t>
    </r>
    <r>
      <rPr>
        <sz val="10"/>
        <rFont val="맑은 고딕"/>
        <family val="0"/>
        <charset val="1"/>
      </rPr>
      <t xml:space="preserve">. </t>
    </r>
    <r>
      <rPr>
        <sz val="10"/>
        <rFont val="Noto Sans CJK SC"/>
        <family val="2"/>
      </rPr>
      <t xml:space="preserve">알림 리스너는 파일 맨 위에서 바로 등록</t>
    </r>
    <r>
      <rPr>
        <sz val="10"/>
        <rFont val="맑은 고딕"/>
        <family val="0"/>
        <charset val="1"/>
      </rPr>
      <t xml:space="preserve">(</t>
    </r>
    <r>
      <rPr>
        <sz val="10"/>
        <rFont val="Noto Sans CJK SC"/>
        <family val="2"/>
      </rPr>
      <t xml:space="preserve">나중에 등록하면 깨어날 때 알림을 놓침</t>
    </r>
    <r>
      <rPr>
        <sz val="10"/>
        <rFont val="맑은 고딕"/>
        <family val="0"/>
        <charset val="1"/>
      </rPr>
      <t xml:space="preserve">)</t>
    </r>
  </si>
  <si>
    <t xml:space="preserve">F01, F07, F10</t>
  </si>
  <si>
    <t xml:space="preserve">C03</t>
  </si>
  <si>
    <t xml:space="preserve">runtime</t>
  </si>
  <si>
    <t xml:space="preserve">onInstalled</t>
  </si>
  <si>
    <t xml:space="preserve">{ reason }</t>
  </si>
  <si>
    <t xml:space="preserve">서비스 워커가 쓰는 저장 항목(manualMoves, newBookmarks)의 빈 기본값을 처음 한 번 만듦</t>
  </si>
  <si>
    <t xml:space="preserve">background.js</t>
  </si>
  <si>
    <r>
      <rPr>
        <sz val="10"/>
        <rFont val="맑은 고딕"/>
        <family val="0"/>
        <charset val="1"/>
      </rPr>
      <t xml:space="preserve">reason</t>
    </r>
    <r>
      <rPr>
        <sz val="10"/>
        <rFont val="Noto Sans CJK SC"/>
        <family val="2"/>
      </rPr>
      <t xml:space="preserve">이 </t>
    </r>
    <r>
      <rPr>
        <sz val="10"/>
        <rFont val="맑은 고딕"/>
        <family val="0"/>
        <charset val="1"/>
      </rPr>
      <t xml:space="preserve">"install"</t>
    </r>
    <r>
      <rPr>
        <sz val="10"/>
        <rFont val="Noto Sans CJK SC"/>
        <family val="2"/>
      </rPr>
      <t xml:space="preserve">일 때만 기록 </t>
    </r>
    <r>
      <rPr>
        <sz val="10"/>
        <rFont val="맑은 고딕"/>
        <family val="0"/>
        <charset val="1"/>
      </rPr>
      <t xml:space="preserve">(</t>
    </r>
    <r>
      <rPr>
        <sz val="10"/>
        <rFont val="Noto Sans CJK SC"/>
        <family val="2"/>
      </rPr>
      <t xml:space="preserve">업데이트 때 덮어쓰지 않음</t>
    </r>
    <r>
      <rPr>
        <sz val="10"/>
        <rFont val="맑은 고딕"/>
        <family val="0"/>
        <charset val="1"/>
      </rPr>
      <t xml:space="preserve">). </t>
    </r>
    <r>
      <rPr>
        <sz val="10"/>
        <rFont val="Noto Sans CJK SC"/>
        <family val="2"/>
      </rPr>
      <t xml:space="preserve">새 탭이 쓰는 </t>
    </r>
    <r>
      <rPr>
        <sz val="10"/>
        <rFont val="맑은 고딕"/>
        <family val="0"/>
        <charset val="1"/>
      </rPr>
      <t xml:space="preserve">state</t>
    </r>
    <r>
      <rPr>
        <sz val="10"/>
        <rFont val="Noto Sans CJK SC"/>
        <family val="2"/>
      </rPr>
      <t xml:space="preserve">는 건드리지 않음</t>
    </r>
  </si>
  <si>
    <t xml:space="preserve">F07, F10</t>
  </si>
  <si>
    <t xml:space="preserve">C04</t>
  </si>
  <si>
    <t xml:space="preserve">bookmarks</t>
  </si>
  <si>
    <t xml:space="preserve">getTree()</t>
  </si>
  <si>
    <r>
      <rPr>
        <sz val="10"/>
        <rFont val="맑은 고딕"/>
        <family val="0"/>
        <charset val="1"/>
      </rPr>
      <t xml:space="preserve">BookmarkTreeNode[] (</t>
    </r>
    <r>
      <rPr>
        <sz val="10"/>
        <rFont val="Noto Sans CJK SC"/>
        <family val="2"/>
      </rPr>
      <t xml:space="preserve">최상위 </t>
    </r>
    <r>
      <rPr>
        <sz val="10"/>
        <rFont val="맑은 고딕"/>
        <family val="0"/>
        <charset val="1"/>
      </rPr>
      <t xml:space="preserve">1</t>
    </r>
    <r>
      <rPr>
        <sz val="10"/>
        <rFont val="Noto Sans CJK SC"/>
        <family val="2"/>
      </rPr>
      <t xml:space="preserve">개</t>
    </r>
    <r>
      <rPr>
        <sz val="10"/>
        <rFont val="맑은 고딕"/>
        <family val="0"/>
        <charset val="1"/>
      </rPr>
      <t xml:space="preserve">, </t>
    </r>
    <r>
      <rPr>
        <sz val="10"/>
        <rFont val="Noto Sans CJK SC"/>
        <family val="2"/>
      </rPr>
      <t xml:space="preserve">그 아래 북마크바</t>
    </r>
    <r>
      <rPr>
        <sz val="10"/>
        <rFont val="맑은 고딕"/>
        <family val="0"/>
        <charset val="1"/>
      </rPr>
      <t xml:space="preserve">·</t>
    </r>
    <r>
      <rPr>
        <sz val="10"/>
        <rFont val="Noto Sans CJK SC"/>
        <family val="2"/>
      </rPr>
      <t xml:space="preserve">기타</t>
    </r>
    <r>
      <rPr>
        <sz val="10"/>
        <rFont val="맑은 고딕"/>
        <family val="0"/>
        <charset val="1"/>
      </rPr>
      <t xml:space="preserve">·</t>
    </r>
    <r>
      <rPr>
        <sz val="10"/>
        <rFont val="Noto Sans CJK SC"/>
        <family val="2"/>
      </rPr>
      <t xml:space="preserve">모바일</t>
    </r>
    <r>
      <rPr>
        <sz val="10"/>
        <rFont val="맑은 고딕"/>
        <family val="0"/>
        <charset val="1"/>
      </rPr>
      <t xml:space="preserve">)</t>
    </r>
  </si>
  <si>
    <t xml:space="preserve">북마크 전체 읽기</t>
  </si>
  <si>
    <t xml:space="preserve">노드 필드: id, parentId, index, title, url, dateAdded, dateLastUsed, folderType, syncing, children. 실행 확인(v3): 로그인하지 않은 크롬에는 모바일 북마크 폴더가 아예 없고, 한 번도 안 연 북마크에는 dateLastUsed 필드가 없음</t>
  </si>
  <si>
    <t xml:space="preserve">F01 ~ F05, F14</t>
  </si>
  <si>
    <t xml:space="preserve">C05</t>
  </si>
  <si>
    <t xml:space="preserve">create({parentId, index?, title, url?})</t>
  </si>
  <si>
    <r>
      <rPr>
        <sz val="10"/>
        <rFont val="맑은 고딕"/>
        <family val="0"/>
        <charset val="1"/>
      </rPr>
      <t xml:space="preserve">url</t>
    </r>
    <r>
      <rPr>
        <sz val="10"/>
        <rFont val="Noto Sans CJK SC"/>
        <family val="2"/>
      </rPr>
      <t xml:space="preserve">이 없으면 폴더 생성</t>
    </r>
  </si>
  <si>
    <t xml:space="preserve">만들어진 노드</t>
  </si>
  <si>
    <t xml:space="preserve">정리 폴더·앱 폴더 만들기</t>
  </si>
  <si>
    <r>
      <rPr>
        <sz val="10"/>
        <rFont val="맑은 고딕"/>
        <family val="0"/>
        <charset val="1"/>
      </rPr>
      <t xml:space="preserve">folderType</t>
    </r>
    <r>
      <rPr>
        <sz val="10"/>
        <rFont val="Noto Sans CJK SC"/>
        <family val="2"/>
      </rPr>
      <t xml:space="preserve">이 있는 최상위 폴더 바로 아래에는 만들 수 있음</t>
    </r>
    <r>
      <rPr>
        <sz val="10"/>
        <rFont val="맑은 고딕"/>
        <family val="0"/>
        <charset val="1"/>
      </rPr>
      <t xml:space="preserve">. </t>
    </r>
    <r>
      <rPr>
        <sz val="10"/>
        <rFont val="Noto Sans CJK SC"/>
        <family val="2"/>
      </rPr>
      <t xml:space="preserve">최상위</t>
    </r>
    <r>
      <rPr>
        <sz val="10"/>
        <rFont val="맑은 고딕"/>
        <family val="0"/>
        <charset val="1"/>
      </rPr>
      <t xml:space="preserve">(</t>
    </r>
    <r>
      <rPr>
        <sz val="10"/>
        <rFont val="Noto Sans CJK SC"/>
        <family val="2"/>
      </rPr>
      <t xml:space="preserve">루트</t>
    </r>
    <r>
      <rPr>
        <sz val="10"/>
        <rFont val="맑은 고딕"/>
        <family val="0"/>
        <charset val="1"/>
      </rPr>
      <t xml:space="preserve">) </t>
    </r>
    <r>
      <rPr>
        <sz val="10"/>
        <rFont val="Noto Sans CJK SC"/>
        <family val="2"/>
      </rPr>
      <t xml:space="preserve">자체에는 못 만듦</t>
    </r>
  </si>
  <si>
    <t xml:space="preserve">F03, F07, F16</t>
  </si>
  <si>
    <t xml:space="preserve">C06</t>
  </si>
  <si>
    <t xml:space="preserve">move(id, {parentId?, index?})</t>
  </si>
  <si>
    <t xml:space="preserve">옮길 북마크 ID, 목적지 폴더, 순서</t>
  </si>
  <si>
    <t xml:space="preserve">옮겨진 노드</t>
  </si>
  <si>
    <t xml:space="preserve">정리 적용, 우클릭·드래그 이동, 되돌리기</t>
  </si>
  <si>
    <t xml:space="preserve">하나를 옮기면 같은 폴더의 뒤쪽 index가 바뀜. 되돌릴 때는 원래 index가 작은 것부터. 없는 ID면 오류. index가 목적지 폴더의 개수보다 크면 "Index out of bounds" 오류이므로 개수에 맞춰 줄임(실행 확인). 같은 폴더 안에서 뒤쪽으로 옮기면 한 칸 앞에 놓임(실행 확인)</t>
  </si>
  <si>
    <t xml:space="preserve">F07, F10, F13, F15, F17</t>
  </si>
  <si>
    <t xml:space="preserve">C07</t>
  </si>
  <si>
    <t xml:space="preserve">update(id, {title?, url?})</t>
  </si>
  <si>
    <t xml:space="preserve">폴더 ID, 새 이름</t>
  </si>
  <si>
    <t xml:space="preserve">바뀐 노드</t>
  </si>
  <si>
    <t xml:space="preserve">앱 폴더 이름 바꾸기</t>
  </si>
  <si>
    <r>
      <rPr>
        <sz val="10"/>
        <rFont val="맑은 고딕"/>
        <family val="0"/>
        <charset val="1"/>
      </rPr>
      <t xml:space="preserve">folderType</t>
    </r>
    <r>
      <rPr>
        <sz val="10"/>
        <rFont val="Noto Sans CJK SC"/>
        <family val="2"/>
      </rPr>
      <t xml:space="preserve">이 있는 폴더는 바꿀 수 없음</t>
    </r>
    <r>
      <rPr>
        <sz val="10"/>
        <rFont val="맑은 고딕"/>
        <family val="0"/>
        <charset val="1"/>
      </rPr>
      <t xml:space="preserve">(</t>
    </r>
    <r>
      <rPr>
        <sz val="10"/>
        <rFont val="Noto Sans CJK SC"/>
        <family val="2"/>
      </rPr>
      <t xml:space="preserve">오류</t>
    </r>
    <r>
      <rPr>
        <sz val="10"/>
        <rFont val="맑은 고딕"/>
        <family val="0"/>
        <charset val="1"/>
      </rPr>
      <t xml:space="preserve">)</t>
    </r>
  </si>
  <si>
    <t xml:space="preserve">C08</t>
  </si>
  <si>
    <t xml:space="preserve">remove(id)</t>
  </si>
  <si>
    <t xml:space="preserve">폴더 ID</t>
  </si>
  <si>
    <t xml:space="preserve">빈 폴더 삭제</t>
  </si>
  <si>
    <t xml:space="preserve">비어 있지 않은 폴더는 오류(실행 확인). 안의 북마크를 먼저 꺼낸 뒤 호출. removeTree()는 쓰지 않음(북마크까지 지워짐)</t>
  </si>
  <si>
    <t xml:space="preserve">F03, F13</t>
  </si>
  <si>
    <t xml:space="preserve">C09</t>
  </si>
  <si>
    <t xml:space="preserve">onCreated</t>
  </si>
  <si>
    <t xml:space="preserve">(id, node)</t>
  </si>
  <si>
    <t xml:space="preserve">새 북마크 기록, 화면 반영</t>
  </si>
  <si>
    <t xml:space="preserve">background.js, render.js</t>
  </si>
  <si>
    <t xml:space="preserve">가져오기 중에는 대량으로 발생</t>
  </si>
  <si>
    <t xml:space="preserve">F01, F10</t>
  </si>
  <si>
    <t xml:space="preserve">C10</t>
  </si>
  <si>
    <t xml:space="preserve">onMoved</t>
  </si>
  <si>
    <t xml:space="preserve">(id, {parentId, index, oldParentId, oldIndex})</t>
  </si>
  <si>
    <t xml:space="preserve">직접 옮김 기록, 화면 반영</t>
  </si>
  <si>
    <r>
      <rPr>
        <sz val="10"/>
        <rFont val="맑은 고딕"/>
        <family val="0"/>
        <charset val="1"/>
      </rPr>
      <t xml:space="preserve">pendingMoves</t>
    </r>
    <r>
      <rPr>
        <sz val="10"/>
        <rFont val="Noto Sans CJK SC"/>
        <family val="2"/>
      </rPr>
      <t xml:space="preserve">에 같은 </t>
    </r>
    <r>
      <rPr>
        <sz val="10"/>
        <rFont val="맑은 고딕"/>
        <family val="0"/>
        <charset val="1"/>
      </rPr>
      <t xml:space="preserve">ID·</t>
    </r>
    <r>
      <rPr>
        <sz val="10"/>
        <rFont val="Noto Sans CJK SC"/>
        <family val="2"/>
      </rPr>
      <t xml:space="preserve">같은 목적지가 </t>
    </r>
    <r>
      <rPr>
        <sz val="10"/>
        <rFont val="맑은 고딕"/>
        <family val="0"/>
        <charset val="1"/>
      </rPr>
      <t xml:space="preserve">1</t>
    </r>
    <r>
      <rPr>
        <sz val="10"/>
        <rFont val="Noto Sans CJK SC"/>
        <family val="2"/>
      </rPr>
      <t xml:space="preserve">분 안에 기록돼 있으면 직접 옮김으로 기록하지 않음</t>
    </r>
    <r>
      <rPr>
        <sz val="10"/>
        <rFont val="맑은 고딕"/>
        <family val="0"/>
        <charset val="1"/>
      </rPr>
      <t xml:space="preserve">. parentId</t>
    </r>
    <r>
      <rPr>
        <sz val="10"/>
        <rFont val="Noto Sans CJK SC"/>
        <family val="2"/>
      </rPr>
      <t xml:space="preserve">와 </t>
    </r>
    <r>
      <rPr>
        <sz val="10"/>
        <rFont val="맑은 고딕"/>
        <family val="0"/>
        <charset val="1"/>
      </rPr>
      <t xml:space="preserve">oldParentId</t>
    </r>
    <r>
      <rPr>
        <sz val="10"/>
        <rFont val="Noto Sans CJK SC"/>
        <family val="2"/>
      </rPr>
      <t xml:space="preserve">가 같으면</t>
    </r>
    <r>
      <rPr>
        <sz val="10"/>
        <rFont val="맑은 고딕"/>
        <family val="0"/>
        <charset val="1"/>
      </rPr>
      <t xml:space="preserve">(</t>
    </r>
    <r>
      <rPr>
        <sz val="10"/>
        <rFont val="Noto Sans CJK SC"/>
        <family val="2"/>
      </rPr>
      <t xml:space="preserve">순서만 바뀜</t>
    </r>
    <r>
      <rPr>
        <sz val="10"/>
        <rFont val="맑은 고딕"/>
        <family val="0"/>
        <charset val="1"/>
      </rPr>
      <t xml:space="preserve">) </t>
    </r>
    <r>
      <rPr>
        <sz val="10"/>
        <rFont val="Noto Sans CJK SC"/>
        <family val="2"/>
      </rPr>
      <t xml:space="preserve">기록하지 않음</t>
    </r>
  </si>
  <si>
    <t xml:space="preserve">F01, F07</t>
  </si>
  <si>
    <t xml:space="preserve">C11</t>
  </si>
  <si>
    <t xml:space="preserve">onChanged</t>
  </si>
  <si>
    <t xml:space="preserve">(id, {title, url?})</t>
  </si>
  <si>
    <t xml:space="preserve">제목·주소 변경을 화면에 반영</t>
  </si>
  <si>
    <t xml:space="preserve">render.js</t>
  </si>
  <si>
    <t xml:space="preserve">C12</t>
  </si>
  <si>
    <t xml:space="preserve">onRemoved</t>
  </si>
  <si>
    <t xml:space="preserve">(id, {parentId, index, node})</t>
  </si>
  <si>
    <t xml:space="preserve">화면 반영, 저장 항목에서 ID 정리</t>
  </si>
  <si>
    <t xml:space="preserve">폴더가 통째로 지워지면 알림은 폴더 것 하나만 오고 안의 북마크는 node.children에 들어 있음(실행 확인). 그 ID도 함께 정리</t>
  </si>
  <si>
    <t xml:space="preserve">F01, F08</t>
  </si>
  <si>
    <t xml:space="preserve">C13</t>
  </si>
  <si>
    <t xml:space="preserve">onImportBegan / onImportEnded</t>
  </si>
  <si>
    <t xml:space="preserve">가져오기 중 onCreated 처리 멈춤</t>
  </si>
  <si>
    <t xml:space="preserve">끝난 뒤 getTree()로 한 번만 다시 읽음</t>
  </si>
  <si>
    <t xml:space="preserve">C14</t>
  </si>
  <si>
    <t xml:space="preserve">storage</t>
  </si>
  <si>
    <t xml:space="preserve">local.get(keys)</t>
  </si>
  <si>
    <t xml:space="preserve">키 이름 또는 배열</t>
  </si>
  <si>
    <r>
      <rPr>
        <sz val="10"/>
        <rFont val="맑은 고딕"/>
        <family val="0"/>
        <charset val="1"/>
      </rPr>
      <t xml:space="preserve">{</t>
    </r>
    <r>
      <rPr>
        <sz val="10"/>
        <rFont val="Noto Sans CJK SC"/>
        <family val="2"/>
      </rPr>
      <t xml:space="preserve">키</t>
    </r>
    <r>
      <rPr>
        <sz val="10"/>
        <rFont val="맑은 고딕"/>
        <family val="0"/>
        <charset val="1"/>
      </rPr>
      <t xml:space="preserve">: </t>
    </r>
    <r>
      <rPr>
        <sz val="10"/>
        <rFont val="Noto Sans CJK SC"/>
        <family val="2"/>
      </rPr>
      <t xml:space="preserve">값</t>
    </r>
    <r>
      <rPr>
        <sz val="10"/>
        <rFont val="맑은 고딕"/>
        <family val="0"/>
        <charset val="1"/>
      </rPr>
      <t xml:space="preserve">}</t>
    </r>
  </si>
  <si>
    <t xml:space="preserve">저장 항목 읽기</t>
  </si>
  <si>
    <t xml:space="preserve">값이 없으면 키가 빠진 채로 옴. 기본값을 store.js에서 채움</t>
  </si>
  <si>
    <t xml:space="preserve">F04, F07 ~ F10, F13</t>
  </si>
  <si>
    <t xml:space="preserve">C15</t>
  </si>
  <si>
    <r>
      <rPr>
        <sz val="10"/>
        <rFont val="맑은 고딕"/>
        <family val="0"/>
        <charset val="1"/>
      </rPr>
      <t xml:space="preserve">local.set({</t>
    </r>
    <r>
      <rPr>
        <sz val="10"/>
        <rFont val="Noto Sans CJK SC"/>
        <family val="2"/>
      </rPr>
      <t xml:space="preserve">키</t>
    </r>
    <r>
      <rPr>
        <sz val="10"/>
        <rFont val="맑은 고딕"/>
        <family val="0"/>
        <charset val="1"/>
      </rPr>
      <t xml:space="preserve">: </t>
    </r>
    <r>
      <rPr>
        <sz val="10"/>
        <rFont val="Noto Sans CJK SC"/>
        <family val="2"/>
      </rPr>
      <t xml:space="preserve">값</t>
    </r>
    <r>
      <rPr>
        <sz val="10"/>
        <rFont val="맑은 고딕"/>
        <family val="0"/>
        <charset val="1"/>
      </rPr>
      <t xml:space="preserve">})</t>
    </r>
  </si>
  <si>
    <t xml:space="preserve">저장할 값</t>
  </si>
  <si>
    <t xml:space="preserve">저장 항목 쓰기</t>
  </si>
  <si>
    <t xml:space="preserve">새 탭과 서비스 워커가 같은 키를 동시에 쓰면 한쪽 값이 사라짐. 그래서 한 키는 한쪽만 쓴다(참고_저장 항목 시트). 같은 쪽 안에서는 읽고 → 고치고 → 쓰기를 store.js의 한 함수로 묶어 순서대로 처리</t>
  </si>
  <si>
    <t xml:space="preserve">C16</t>
  </si>
  <si>
    <t xml:space="preserve">(changes, areaName)</t>
  </si>
  <si>
    <t xml:space="preserve">서비스 워커가 쓴 값을 새 탭이 알아채 화면 갱신</t>
  </si>
  <si>
    <r>
      <rPr>
        <sz val="10"/>
        <rFont val="맑은 고딕"/>
        <family val="0"/>
        <charset val="1"/>
      </rPr>
      <t xml:space="preserve">areaName</t>
    </r>
    <r>
      <rPr>
        <sz val="10"/>
        <rFont val="Noto Sans CJK SC"/>
        <family val="2"/>
      </rPr>
      <t xml:space="preserve">이 </t>
    </r>
    <r>
      <rPr>
        <sz val="10"/>
        <rFont val="맑은 고딕"/>
        <family val="0"/>
        <charset val="1"/>
      </rPr>
      <t xml:space="preserve">"local"</t>
    </r>
    <r>
      <rPr>
        <sz val="10"/>
        <rFont val="Noto Sans CJK SC"/>
        <family val="2"/>
      </rPr>
      <t xml:space="preserve">일 때만 처리</t>
    </r>
  </si>
  <si>
    <t xml:space="preserve">C17</t>
  </si>
  <si>
    <t xml:space="preserve">search</t>
  </si>
  <si>
    <t xml:space="preserve">query({text, disposition})</t>
  </si>
  <si>
    <t xml:space="preserve">검색어, "CURRENT_TAB"</t>
  </si>
  <si>
    <t xml:space="preserve">크롬 기본 검색엔진으로 검색</t>
  </si>
  <si>
    <r>
      <rPr>
        <sz val="10"/>
        <rFont val="맑은 고딕"/>
        <family val="0"/>
        <charset val="1"/>
      </rPr>
      <t xml:space="preserve">text</t>
    </r>
    <r>
      <rPr>
        <sz val="10"/>
        <rFont val="Noto Sans CJK SC"/>
        <family val="2"/>
      </rPr>
      <t xml:space="preserve">가 빈 문자열이면 </t>
    </r>
    <r>
      <rPr>
        <sz val="10"/>
        <rFont val="맑은 고딕"/>
        <family val="0"/>
        <charset val="1"/>
      </rPr>
      <t xml:space="preserve">"Empty text parameter" </t>
    </r>
    <r>
      <rPr>
        <sz val="10"/>
        <rFont val="Noto Sans CJK SC"/>
        <family val="2"/>
      </rPr>
      <t xml:space="preserve">오류</t>
    </r>
    <r>
      <rPr>
        <sz val="10"/>
        <rFont val="맑은 고딕"/>
        <family val="0"/>
        <charset val="1"/>
      </rPr>
      <t xml:space="preserve">(</t>
    </r>
    <r>
      <rPr>
        <sz val="10"/>
        <rFont val="Noto Sans CJK SC"/>
        <family val="2"/>
      </rPr>
      <t xml:space="preserve">실행 확인</t>
    </r>
    <r>
      <rPr>
        <sz val="10"/>
        <rFont val="맑은 고딕"/>
        <family val="0"/>
        <charset val="1"/>
      </rPr>
      <t xml:space="preserve">)</t>
    </r>
    <r>
      <rPr>
        <sz val="10"/>
        <rFont val="Noto Sans CJK SC"/>
        <family val="2"/>
      </rPr>
      <t xml:space="preserve">이므로 호출하지 않음</t>
    </r>
  </si>
  <si>
    <t xml:space="preserve">C18</t>
  </si>
  <si>
    <t xml:space="preserve">tabs</t>
  </si>
  <si>
    <t xml:space="preserve">update({url}) / create({url})</t>
  </si>
  <si>
    <t xml:space="preserve">열 주소</t>
  </si>
  <si>
    <t xml:space="preserve">Tab</t>
  </si>
  <si>
    <t xml:space="preserve">주소 입력 이동, chrome://·file:// 북마크 열기, 새 탭에서 열기</t>
  </si>
  <si>
    <t xml:space="preserve">bookmarks.js, search.js</t>
  </si>
  <si>
    <t xml:space="preserve">주소만 넘기는 용도는 tabs 권한이 필요 없음</t>
  </si>
  <si>
    <t xml:space="preserve">F02, F11, F15</t>
  </si>
  <si>
    <t xml:space="preserve">C19</t>
  </si>
  <si>
    <t xml:space="preserve">permissions</t>
  </si>
  <si>
    <t xml:space="preserve">request({permissions: ["topSites"]})</t>
  </si>
  <si>
    <t xml:space="preserve">선택 권한: topSites</t>
  </si>
  <si>
    <t xml:space="preserve">허락 여부(true/false)</t>
  </si>
  <si>
    <r>
      <rPr>
        <sz val="10"/>
        <rFont val="맑은 고딕"/>
        <family val="0"/>
        <charset val="1"/>
      </rPr>
      <t xml:space="preserve">[</t>
    </r>
    <r>
      <rPr>
        <sz val="10"/>
        <rFont val="Noto Sans CJK SC"/>
        <family val="2"/>
      </rPr>
      <t xml:space="preserve">고정하기</t>
    </r>
    <r>
      <rPr>
        <sz val="10"/>
        <rFont val="맑은 고딕"/>
        <family val="0"/>
        <charset val="1"/>
      </rPr>
      <t xml:space="preserve">]</t>
    </r>
    <r>
      <rPr>
        <sz val="10"/>
        <rFont val="Noto Sans CJK SC"/>
        <family val="2"/>
      </rPr>
      <t xml:space="preserve">를 누를 때 권한 요청</t>
    </r>
  </si>
  <si>
    <t xml:space="preserve">view/cards.js</t>
  </si>
  <si>
    <r>
      <rPr>
        <sz val="10"/>
        <rFont val="맑은 고딕"/>
        <family val="0"/>
        <charset val="1"/>
      </rPr>
      <t xml:space="preserve">view/cards.js</t>
    </r>
    <r>
      <rPr>
        <sz val="10"/>
        <rFont val="Noto Sans CJK SC"/>
        <family val="2"/>
      </rPr>
      <t xml:space="preserve">가 요청하고 결과</t>
    </r>
    <r>
      <rPr>
        <sz val="10"/>
        <rFont val="맑은 고딕"/>
        <family val="0"/>
        <charset val="1"/>
      </rPr>
      <t xml:space="preserve">(</t>
    </r>
    <r>
      <rPr>
        <sz val="10"/>
        <rFont val="Noto Sans CJK SC"/>
        <family val="2"/>
      </rPr>
      <t xml:space="preserve">목록</t>
    </r>
    <r>
      <rPr>
        <sz val="10"/>
        <rFont val="맑은 고딕"/>
        <family val="0"/>
        <charset val="1"/>
      </rPr>
      <t xml:space="preserve">)</t>
    </r>
    <r>
      <rPr>
        <sz val="10"/>
        <rFont val="Noto Sans CJK SC"/>
        <family val="2"/>
      </rPr>
      <t xml:space="preserve">만 </t>
    </r>
    <r>
      <rPr>
        <sz val="10"/>
        <rFont val="맑은 고딕"/>
        <family val="0"/>
        <charset val="1"/>
      </rPr>
      <t xml:space="preserve">plan.js</t>
    </r>
    <r>
      <rPr>
        <sz val="10"/>
        <rFont val="Noto Sans CJK SC"/>
        <family val="2"/>
      </rPr>
      <t xml:space="preserve">의 </t>
    </r>
    <r>
      <rPr>
        <sz val="10"/>
        <rFont val="맑은 고딕"/>
        <family val="0"/>
        <charset val="1"/>
      </rPr>
      <t xml:space="preserve">pickPinCandidates</t>
    </r>
    <r>
      <rPr>
        <sz val="10"/>
        <rFont val="Noto Sans CJK SC"/>
        <family val="2"/>
      </rPr>
      <t xml:space="preserve">에 넘긴다</t>
    </r>
    <r>
      <rPr>
        <sz val="10"/>
        <rFont val="맑은 고딕"/>
        <family val="0"/>
        <charset val="1"/>
      </rPr>
      <t xml:space="preserve">. plan.js</t>
    </r>
    <r>
      <rPr>
        <sz val="10"/>
        <rFont val="Noto Sans CJK SC"/>
        <family val="2"/>
      </rPr>
      <t xml:space="preserve">는 크롬 </t>
    </r>
    <r>
      <rPr>
        <sz val="10"/>
        <rFont val="맑은 고딕"/>
        <family val="0"/>
        <charset val="1"/>
      </rPr>
      <t xml:space="preserve">API</t>
    </r>
    <r>
      <rPr>
        <sz val="10"/>
        <rFont val="Noto Sans CJK SC"/>
        <family val="2"/>
      </rPr>
      <t xml:space="preserve">를 부르지 않는다</t>
    </r>
    <r>
      <rPr>
        <sz val="10"/>
        <rFont val="맑은 고딕"/>
        <family val="0"/>
        <charset val="1"/>
      </rPr>
      <t xml:space="preserve">. </t>
    </r>
    <r>
      <rPr>
        <sz val="10"/>
        <rFont val="Noto Sans CJK SC"/>
        <family val="2"/>
      </rPr>
      <t xml:space="preserve">반드시 클릭 핸들러 안에서 바로 호출</t>
    </r>
    <r>
      <rPr>
        <sz val="10"/>
        <rFont val="맑은 고딕"/>
        <family val="0"/>
        <charset val="1"/>
      </rPr>
      <t xml:space="preserve">(</t>
    </r>
    <r>
      <rPr>
        <sz val="10"/>
        <rFont val="Noto Sans CJK SC"/>
        <family val="2"/>
      </rPr>
      <t xml:space="preserve">그 전에 </t>
    </r>
    <r>
      <rPr>
        <sz val="10"/>
        <rFont val="맑은 고딕"/>
        <family val="0"/>
        <charset val="1"/>
      </rPr>
      <t xml:space="preserve">await</t>
    </r>
    <r>
      <rPr>
        <sz val="10"/>
        <rFont val="Noto Sans CJK SC"/>
        <family val="2"/>
      </rPr>
      <t xml:space="preserve">가 있으면 실패</t>
    </r>
    <r>
      <rPr>
        <sz val="10"/>
        <rFont val="맑은 고딕"/>
        <family val="0"/>
        <charset val="1"/>
      </rPr>
      <t xml:space="preserve">). </t>
    </r>
    <r>
      <rPr>
        <sz val="10"/>
        <rFont val="Noto Sans CJK SC"/>
        <family val="2"/>
      </rPr>
      <t xml:space="preserve">거절하면 </t>
    </r>
    <r>
      <rPr>
        <sz val="10"/>
        <rFont val="맑은 고딕"/>
        <family val="0"/>
        <charset val="1"/>
      </rPr>
      <t xml:space="preserve">false. </t>
    </r>
    <r>
      <rPr>
        <sz val="10"/>
        <rFont val="Noto Sans CJK SC"/>
        <family val="2"/>
      </rPr>
      <t xml:space="preserve">허락 전에는 </t>
    </r>
    <r>
      <rPr>
        <sz val="10"/>
        <rFont val="맑은 고딕"/>
        <family val="0"/>
        <charset val="1"/>
      </rPr>
      <t xml:space="preserve">chrome.topSites </t>
    </r>
    <r>
      <rPr>
        <sz val="10"/>
        <rFont val="Noto Sans CJK SC"/>
        <family val="2"/>
      </rPr>
      <t xml:space="preserve">자체가 없음</t>
    </r>
    <r>
      <rPr>
        <sz val="10"/>
        <rFont val="맑은 고딕"/>
        <family val="0"/>
        <charset val="1"/>
      </rPr>
      <t xml:space="preserve">(</t>
    </r>
    <r>
      <rPr>
        <sz val="10"/>
        <rFont val="Noto Sans CJK SC"/>
        <family val="2"/>
      </rPr>
      <t xml:space="preserve">실행 확인</t>
    </r>
    <r>
      <rPr>
        <sz val="10"/>
        <rFont val="맑은 고딕"/>
        <family val="0"/>
        <charset val="1"/>
      </rPr>
      <t xml:space="preserve">). </t>
    </r>
    <r>
      <rPr>
        <sz val="10"/>
        <rFont val="Noto Sans CJK SC"/>
        <family val="2"/>
      </rPr>
      <t xml:space="preserve">허락하면 </t>
    </r>
    <r>
      <rPr>
        <sz val="10"/>
        <rFont val="맑은 고딕"/>
        <family val="0"/>
        <charset val="1"/>
      </rPr>
      <t xml:space="preserve">true, </t>
    </r>
    <r>
      <rPr>
        <sz val="10"/>
        <rFont val="Noto Sans CJK SC"/>
        <family val="2"/>
      </rPr>
      <t xml:space="preserve">거절하면 </t>
    </r>
    <r>
      <rPr>
        <sz val="10"/>
        <rFont val="맑은 고딕"/>
        <family val="0"/>
        <charset val="1"/>
      </rPr>
      <t xml:space="preserve">false(</t>
    </r>
    <r>
      <rPr>
        <sz val="10"/>
        <rFont val="Noto Sans CJK SC"/>
        <family val="2"/>
      </rPr>
      <t xml:space="preserve">실행 확인 </t>
    </r>
    <r>
      <rPr>
        <sz val="10"/>
        <rFont val="맑은 고딕"/>
        <family val="0"/>
        <charset val="1"/>
      </rPr>
      <t xml:space="preserve">v4). </t>
    </r>
    <r>
      <rPr>
        <sz val="10"/>
        <rFont val="Noto Sans CJK SC"/>
        <family val="2"/>
      </rPr>
      <t xml:space="preserve">허락 직후 새로고침 없이 </t>
    </r>
    <r>
      <rPr>
        <sz val="10"/>
        <rFont val="맑은 고딕"/>
        <family val="0"/>
        <charset val="1"/>
      </rPr>
      <t xml:space="preserve">chrome.topSites</t>
    </r>
    <r>
      <rPr>
        <sz val="10"/>
        <rFont val="Noto Sans CJK SC"/>
        <family val="2"/>
      </rPr>
      <t xml:space="preserve">를 쓸 수 있음</t>
    </r>
  </si>
  <si>
    <t xml:space="preserve">C20</t>
  </si>
  <si>
    <t xml:space="preserve">contains({permissions: ["topSites"]})</t>
  </si>
  <si>
    <t xml:space="preserve">true/false</t>
  </si>
  <si>
    <t xml:space="preserve">이미 허락했는지 확인</t>
  </si>
  <si>
    <t xml:space="preserve">C21</t>
  </si>
  <si>
    <t xml:space="preserve">topSites</t>
  </si>
  <si>
    <t xml:space="preserve">get()</t>
  </si>
  <si>
    <r>
      <rPr>
        <sz val="10"/>
        <rFont val="맑은 고딕"/>
        <family val="0"/>
        <charset val="1"/>
      </rPr>
      <t xml:space="preserve">[{url, title}, …] (</t>
    </r>
    <r>
      <rPr>
        <sz val="10"/>
        <rFont val="Noto Sans CJK SC"/>
        <family val="2"/>
      </rPr>
      <t xml:space="preserve">최대 </t>
    </r>
    <r>
      <rPr>
        <sz val="10"/>
        <rFont val="맑은 고딕"/>
        <family val="0"/>
        <charset val="1"/>
      </rPr>
      <t xml:space="preserve">10</t>
    </r>
    <r>
      <rPr>
        <sz val="10"/>
        <rFont val="Noto Sans CJK SC"/>
        <family val="2"/>
      </rPr>
      <t xml:space="preserve">개쯤</t>
    </r>
    <r>
      <rPr>
        <sz val="10"/>
        <rFont val="맑은 고딕"/>
        <family val="0"/>
        <charset val="1"/>
      </rPr>
      <t xml:space="preserve">)</t>
    </r>
  </si>
  <si>
    <t xml:space="preserve">자주 방문한 사이트 목록 읽기 (비교는 plan.js가 계산)</t>
  </si>
  <si>
    <t xml:space="preserve">방문 기록을 지웠으면 빈 배열. 결과를 저장하지 않음. 실행 확인(v4): 목록에 확장 프로그램 자신의 새 탭 주소(chrome-extension://…)가 들어 있으므로 http·https 주소만 사용</t>
  </si>
  <si>
    <t xml:space="preserve">C22</t>
  </si>
  <si>
    <t xml:space="preserve">favicon</t>
  </si>
  <si>
    <t xml:space="preserve">runtime.getURL("/_favicon/") + ?pageUrl=…&amp;size=32</t>
  </si>
  <si>
    <t xml:space="preserve">북마크 주소, 크기</t>
  </si>
  <si>
    <t xml:space="preserve">이미지 주소</t>
  </si>
  <si>
    <t xml:space="preserve">사이트 아이콘 표시</t>
  </si>
  <si>
    <t xml:space="preserve">파비콘이 없으면 오류가 아니라 기본 그림이 오고, 그 그림은 어느 주소든 똑같음(실행 확인). 사이트가 아닌 페이지 주소 단위로 찾음. 대부분 16~32px</t>
  </si>
  <si>
    <t xml:space="preserve">F02, F14</t>
  </si>
  <si>
    <t xml:space="preserve">파일</t>
  </si>
  <si>
    <t xml:space="preserve">함수</t>
  </si>
  <si>
    <t xml:space="preserve">출력</t>
  </si>
  <si>
    <t xml:space="preserve">동작</t>
  </si>
  <si>
    <t xml:space="preserve">크롬 북마크 변경</t>
  </si>
  <si>
    <t xml:space="preserve">저장소 쓰기</t>
  </si>
  <si>
    <t xml:space="preserve">예외 처리 · 주의</t>
  </si>
  <si>
    <t xml:space="preserve">N01</t>
  </si>
  <si>
    <t xml:space="preserve">loadTree()</t>
  </si>
  <si>
    <t xml:space="preserve">{ roots: {bar, other, mobile}, bookmarks: [...], folders: [...] }</t>
  </si>
  <si>
    <t xml:space="preserve">크롬 북마크를 읽어 화면과 규칙이 쓰기 쉬운 목록으로 바꿈. 각 북마크에 들어 있는 폴더와 최상위 폴더 종류를 붙임</t>
  </si>
  <si>
    <t xml:space="preserve">기타 북마크가 두 개면 syncing이 true인 쪽을 roots.other로 돌려줌. 북마크바가 두 개로 보이는 경우도 같은 방식으로 roots.bar를 정함(v9, 개발 첫 주에 확인). 모바일 북마크 폴더가 없으면 roots.mobile은 null</t>
  </si>
  <si>
    <t xml:space="preserve">#2</t>
  </si>
  <si>
    <t xml:space="preserve">N02</t>
  </si>
  <si>
    <t xml:space="preserve">createFolder(name, parentId)</t>
  </si>
  <si>
    <t xml:space="preserve">폴더 이름, 상위 폴더 ID</t>
  </si>
  <si>
    <t xml:space="preserve">폴더 노드</t>
  </si>
  <si>
    <t xml:space="preserve">같은 이름의 폴더가 상위 폴더 안에 있으면 그 폴더를, 없으면 새로 만들어 돌려줌</t>
  </si>
  <si>
    <t xml:space="preserve">폴더 생성</t>
  </si>
  <si>
    <t xml:space="preserve">이름이 비어 있으면 오류를 던짐</t>
  </si>
  <si>
    <t xml:space="preserve">F03, F07</t>
  </si>
  <si>
    <t xml:space="preserve">N03</t>
  </si>
  <si>
    <t xml:space="preserve">moveBookmark(id, parentId, index?)</t>
  </si>
  <si>
    <t xml:space="preserve">북마크 ID, 목적지 폴더, 순서</t>
  </si>
  <si>
    <t xml:space="preserve">옮겨진 노드 또는 null</t>
  </si>
  <si>
    <t xml:space="preserve">북마크 하나를 옮김</t>
  </si>
  <si>
    <t xml:space="preserve">이동</t>
  </si>
  <si>
    <t xml:space="preserve">북마크가 없으면 null을 돌려줌(오류를 던지지 않음)</t>
  </si>
  <si>
    <t xml:space="preserve">F07, F13, F15</t>
  </si>
  <si>
    <t xml:space="preserve">N04</t>
  </si>
  <si>
    <t xml:space="preserve">renameFolder(id, name)</t>
  </si>
  <si>
    <t xml:space="preserve">이름 변경</t>
  </si>
  <si>
    <r>
      <rPr>
        <sz val="10"/>
        <rFont val="맑은 고딕"/>
        <family val="0"/>
        <charset val="1"/>
      </rPr>
      <t xml:space="preserve">folderType</t>
    </r>
    <r>
      <rPr>
        <sz val="10"/>
        <rFont val="Noto Sans CJK SC"/>
        <family val="2"/>
      </rPr>
      <t xml:space="preserve">이 있는 폴더</t>
    </r>
    <r>
      <rPr>
        <sz val="10"/>
        <rFont val="맑은 고딕"/>
        <family val="0"/>
        <charset val="1"/>
      </rPr>
      <t xml:space="preserve">, </t>
    </r>
    <r>
      <rPr>
        <sz val="10"/>
        <rFont val="Noto Sans CJK SC"/>
        <family val="2"/>
      </rPr>
      <t xml:space="preserve">빈 이름이면 오류</t>
    </r>
  </si>
  <si>
    <t xml:space="preserve">N05</t>
  </si>
  <si>
    <t xml:space="preserve">deleteFolderKeepChildren(id)</t>
  </si>
  <si>
    <t xml:space="preserve">꺼낸 북마크 수</t>
  </si>
  <si>
    <t xml:space="preserve">안의 북마크를 상위 폴더로 꺼낸 뒤 폴더만 삭제</t>
  </si>
  <si>
    <t xml:space="preserve">이동, 폴더 삭제</t>
  </si>
  <si>
    <t xml:space="preserve">pendingMoves</t>
  </si>
  <si>
    <t xml:space="preserve">꺼내는 이동이 직접 옮김으로 기록되지 않게 pendingMoves에 먼저 저장</t>
  </si>
  <si>
    <t xml:space="preserve">N06</t>
  </si>
  <si>
    <t xml:space="preserve">openBookmark(bookmark, {newTab})</t>
  </si>
  <si>
    <t xml:space="preserve">북마크, 새 탭 여부</t>
  </si>
  <si>
    <t xml:space="preserve">없음 (javascript: 주소여서 열지 않았으면 false)</t>
  </si>
  <si>
    <t xml:space="preserve">연 시각을 기록한 뒤 주소를 엶. chrome://·file://은 tabs API로 엶</t>
  </si>
  <si>
    <t xml:space="preserve">lastOpenedByUs</t>
  </si>
  <si>
    <r>
      <rPr>
        <sz val="10"/>
        <rFont val="맑은 고딕"/>
        <family val="0"/>
        <charset val="1"/>
      </rPr>
      <t xml:space="preserve">javascript: </t>
    </r>
    <r>
      <rPr>
        <sz val="10"/>
        <rFont val="Noto Sans CJK SC"/>
        <family val="2"/>
      </rPr>
      <t xml:space="preserve">주소면 열지 않고 </t>
    </r>
    <r>
      <rPr>
        <sz val="10"/>
        <rFont val="맑은 고딕"/>
        <family val="0"/>
        <charset val="1"/>
      </rPr>
      <t xml:space="preserve">false. Ctrl+</t>
    </r>
    <r>
      <rPr>
        <sz val="10"/>
        <rFont val="Noto Sans CJK SC"/>
        <family val="2"/>
      </rPr>
      <t xml:space="preserve">클릭</t>
    </r>
    <r>
      <rPr>
        <sz val="10"/>
        <rFont val="맑은 고딕"/>
        <family val="0"/>
        <charset val="1"/>
      </rPr>
      <t xml:space="preserve">·</t>
    </r>
    <r>
      <rPr>
        <sz val="10"/>
        <rFont val="Noto Sans CJK SC"/>
        <family val="2"/>
      </rPr>
      <t xml:space="preserve">가운데 클릭은 새 탭으로</t>
    </r>
    <r>
      <rPr>
        <sz val="10"/>
        <rFont val="맑은 고딕"/>
        <family val="0"/>
        <charset val="1"/>
      </rPr>
      <t xml:space="preserve">. </t>
    </r>
    <r>
      <rPr>
        <sz val="10"/>
        <rFont val="Noto Sans CJK SC"/>
        <family val="2"/>
      </rPr>
      <t xml:space="preserve">현재 탭 이동은 </t>
    </r>
    <r>
      <rPr>
        <sz val="10"/>
        <rFont val="맑은 고딕"/>
        <family val="0"/>
        <charset val="1"/>
      </rPr>
      <t xml:space="preserve">tabs </t>
    </r>
    <r>
      <rPr>
        <sz val="10"/>
        <rFont val="Noto Sans CJK SC"/>
        <family val="2"/>
      </rPr>
      <t xml:space="preserve">권한 없이 됨</t>
    </r>
    <r>
      <rPr>
        <sz val="10"/>
        <rFont val="맑은 고딕"/>
        <family val="0"/>
        <charset val="1"/>
      </rPr>
      <t xml:space="preserve">(</t>
    </r>
    <r>
      <rPr>
        <sz val="10"/>
        <rFont val="Noto Sans CJK SC"/>
        <family val="2"/>
      </rPr>
      <t xml:space="preserve">실행 확인</t>
    </r>
    <r>
      <rPr>
        <sz val="10"/>
        <rFont val="맑은 고딕"/>
        <family val="0"/>
        <charset val="1"/>
      </rPr>
      <t xml:space="preserve">)</t>
    </r>
  </si>
  <si>
    <t xml:space="preserve">F02, F04, F14, F15</t>
  </si>
  <si>
    <t xml:space="preserve">N07</t>
  </si>
  <si>
    <t xml:space="preserve">faviconUrl(url, size) / hasFavicon(url)</t>
  </si>
  <si>
    <t xml:space="preserve">주소, 크기 / 주소</t>
  </si>
  <si>
    <t xml:space="preserve">이미지 주소 / true·false</t>
  </si>
  <si>
    <r>
      <rPr>
        <sz val="10"/>
        <rFont val="맑은 고딕"/>
        <family val="0"/>
        <charset val="1"/>
      </rPr>
      <t xml:space="preserve">_favicon </t>
    </r>
    <r>
      <rPr>
        <sz val="10"/>
        <rFont val="Noto Sans CJK SC"/>
        <family val="2"/>
      </rPr>
      <t xml:space="preserve">주소 만들기 </t>
    </r>
    <r>
      <rPr>
        <sz val="10"/>
        <rFont val="맑은 고딕"/>
        <family val="0"/>
        <charset val="1"/>
      </rPr>
      <t xml:space="preserve">/ </t>
    </r>
    <r>
      <rPr>
        <sz val="10"/>
        <rFont val="Noto Sans CJK SC"/>
        <family val="2"/>
      </rPr>
      <t xml:space="preserve">받은 그림이 기본 그림과 같은지 비교</t>
    </r>
  </si>
  <si>
    <t xml:space="preserve">기본 그림은 방문한 적 없는 주소(예: https://no-favicon.invalid/)로 한 번 받아 두고 비교. 없으면 사이트 첫 페이지 주소로 한 번 더 확인</t>
  </si>
  <si>
    <t xml:space="preserve">N08</t>
  </si>
  <si>
    <t xml:space="preserve">load()</t>
  </si>
  <si>
    <t xml:space="preserve">저장 항목 전체 (없는 키는 기본값)</t>
  </si>
  <si>
    <t xml:space="preserve">저장 항목을 한 번에 읽음</t>
  </si>
  <si>
    <t xml:space="preserve">전체</t>
  </si>
  <si>
    <t xml:space="preserve">#3</t>
  </si>
  <si>
    <t xml:space="preserve">N09</t>
  </si>
  <si>
    <t xml:space="preserve">update(key, fn)</t>
  </si>
  <si>
    <t xml:space="preserve">키, 값을 고치는 함수</t>
  </si>
  <si>
    <t xml:space="preserve">고친 값</t>
  </si>
  <si>
    <t xml:space="preserve">읽고 → 고치고 → 쓰기를 한 번에 처리</t>
  </si>
  <si>
    <t xml:space="preserve">해당 키</t>
  </si>
  <si>
    <t xml:space="preserve">같은 키를 동시에 고치지 않도록 순서대로 처리</t>
  </si>
  <si>
    <t xml:space="preserve">N10</t>
  </si>
  <si>
    <t xml:space="preserve">recordOpened(id)</t>
  </si>
  <si>
    <t xml:space="preserve">북마크 ID</t>
  </si>
  <si>
    <t xml:space="preserve">연 시각 기록</t>
  </si>
  <si>
    <t xml:space="preserve">F02, F04</t>
  </si>
  <si>
    <t xml:space="preserve">N11</t>
  </si>
  <si>
    <t xml:space="preserve">pin(id) / unpin(id)</t>
  </si>
  <si>
    <r>
      <rPr>
        <sz val="10"/>
        <rFont val="맑은 고딕"/>
        <family val="0"/>
        <charset val="1"/>
      </rPr>
      <t xml:space="preserve">true·false / </t>
    </r>
    <r>
      <rPr>
        <sz val="10"/>
        <rFont val="Noto Sans CJK SC"/>
        <family val="2"/>
      </rPr>
      <t xml:space="preserve">고정 목록</t>
    </r>
  </si>
  <si>
    <t xml:space="preserve">독에 추가·제거</t>
  </si>
  <si>
    <t xml:space="preserve">pinned</t>
  </si>
  <si>
    <t xml:space="preserve">이미 있으면 다시 넣지 않음. 이미 8개면 넣지 않고 false</t>
  </si>
  <si>
    <t xml:space="preserve">F08, F09</t>
  </si>
  <si>
    <t xml:space="preserve">N12</t>
  </si>
  <si>
    <t xml:space="preserve">dismiss(id) / undismiss(id)</t>
  </si>
  <si>
    <r>
      <rPr>
        <sz val="10"/>
        <rFont val="맑은 고딕"/>
        <family val="0"/>
        <charset val="1"/>
      </rPr>
      <t xml:space="preserve">"</t>
    </r>
    <r>
      <rPr>
        <sz val="10"/>
        <rFont val="Noto Sans CJK SC"/>
        <family val="2"/>
      </rPr>
      <t xml:space="preserve">이제 안 봐도 됨</t>
    </r>
    <r>
      <rPr>
        <sz val="10"/>
        <rFont val="맑은 고딕"/>
        <family val="0"/>
        <charset val="1"/>
      </rPr>
      <t xml:space="preserve">" </t>
    </r>
    <r>
      <rPr>
        <sz val="10"/>
        <rFont val="Noto Sans CJK SC"/>
        <family val="2"/>
      </rPr>
      <t xml:space="preserve">기록</t>
    </r>
    <r>
      <rPr>
        <sz val="10"/>
        <rFont val="맑은 고딕"/>
        <family val="0"/>
        <charset val="1"/>
      </rPr>
      <t xml:space="preserve">·</t>
    </r>
    <r>
      <rPr>
        <sz val="10"/>
        <rFont val="Noto Sans CJK SC"/>
        <family val="2"/>
      </rPr>
      <t xml:space="preserve">취소</t>
    </r>
  </si>
  <si>
    <t xml:space="preserve">dismissed</t>
  </si>
  <si>
    <t xml:space="preserve">N13</t>
  </si>
  <si>
    <t xml:space="preserve">markManualMove(id)</t>
  </si>
  <si>
    <t xml:space="preserve">직접 옮김 기록</t>
  </si>
  <si>
    <t xml:space="preserve">manualMoves</t>
  </si>
  <si>
    <t xml:space="preserve">서비스 워커만 호출 (새 탭은 호출하지 않음)</t>
  </si>
  <si>
    <t xml:space="preserve">F07, F15, F17</t>
  </si>
  <si>
    <t xml:space="preserve">N14</t>
  </si>
  <si>
    <t xml:space="preserve">setPending(moves) / isPending(id, parentId)</t>
  </si>
  <si>
    <r>
      <rPr>
        <sz val="10"/>
        <rFont val="맑은 고딕"/>
        <family val="0"/>
        <charset val="1"/>
      </rPr>
      <t xml:space="preserve">[{</t>
    </r>
    <r>
      <rPr>
        <sz val="10"/>
        <rFont val="Noto Sans CJK SC"/>
        <family val="2"/>
      </rPr>
      <t xml:space="preserve">북마크</t>
    </r>
    <r>
      <rPr>
        <sz val="10"/>
        <rFont val="맑은 고딕"/>
        <family val="0"/>
        <charset val="1"/>
      </rPr>
      <t xml:space="preserve">ID, </t>
    </r>
    <r>
      <rPr>
        <sz val="10"/>
        <rFont val="Noto Sans CJK SC"/>
        <family val="2"/>
      </rPr>
      <t xml:space="preserve">목적지 폴더</t>
    </r>
    <r>
      <rPr>
        <sz val="10"/>
        <rFont val="맑은 고딕"/>
        <family val="0"/>
        <charset val="1"/>
      </rPr>
      <t xml:space="preserve">}] / </t>
    </r>
    <r>
      <rPr>
        <sz val="10"/>
        <rFont val="Noto Sans CJK SC"/>
        <family val="2"/>
      </rPr>
      <t xml:space="preserve">북마크 </t>
    </r>
    <r>
      <rPr>
        <sz val="10"/>
        <rFont val="맑은 고딕"/>
        <family val="0"/>
        <charset val="1"/>
      </rPr>
      <t xml:space="preserve">ID, </t>
    </r>
    <r>
      <rPr>
        <sz val="10"/>
        <rFont val="Noto Sans CJK SC"/>
        <family val="2"/>
      </rPr>
      <t xml:space="preserve">옮겨진 폴더</t>
    </r>
  </si>
  <si>
    <t xml:space="preserve">없음 / true·false</t>
  </si>
  <si>
    <t xml:space="preserve">우리 정리가 옮길 북마크를 목적지·시각과 함께 표시 / 그 이동이 우리 것인지 확인</t>
  </si>
  <si>
    <r>
      <rPr>
        <sz val="10"/>
        <rFont val="맑은 고딕"/>
        <family val="0"/>
        <charset val="1"/>
      </rPr>
      <t xml:space="preserve">pendingMoves (setPending</t>
    </r>
    <r>
      <rPr>
        <sz val="10"/>
        <rFont val="Noto Sans CJK SC"/>
        <family val="2"/>
      </rPr>
      <t xml:space="preserve">만</t>
    </r>
    <r>
      <rPr>
        <sz val="10"/>
        <rFont val="맑은 고딕"/>
        <family val="0"/>
        <charset val="1"/>
      </rPr>
      <t xml:space="preserve">)</t>
    </r>
  </si>
  <si>
    <r>
      <rPr>
        <sz val="10"/>
        <rFont val="맑은 고딕"/>
        <family val="0"/>
        <charset val="1"/>
      </rPr>
      <t xml:space="preserve">setPending</t>
    </r>
    <r>
      <rPr>
        <sz val="10"/>
        <rFont val="Noto Sans CJK SC"/>
        <family val="2"/>
      </rPr>
      <t xml:space="preserve">은 새 탭만</t>
    </r>
    <r>
      <rPr>
        <sz val="10"/>
        <rFont val="맑은 고딕"/>
        <family val="0"/>
        <charset val="1"/>
      </rPr>
      <t xml:space="preserve">, isPending</t>
    </r>
    <r>
      <rPr>
        <sz val="10"/>
        <rFont val="Noto Sans CJK SC"/>
        <family val="2"/>
      </rPr>
      <t xml:space="preserve">은 서비스 워커만 호출</t>
    </r>
    <r>
      <rPr>
        <sz val="10"/>
        <rFont val="맑은 고딕"/>
        <family val="0"/>
        <charset val="1"/>
      </rPr>
      <t xml:space="preserve">. </t>
    </r>
    <r>
      <rPr>
        <sz val="10"/>
        <rFont val="Noto Sans CJK SC"/>
        <family val="2"/>
      </rPr>
      <t xml:space="preserve">표시는 지우지 않고 </t>
    </r>
    <r>
      <rPr>
        <sz val="10"/>
        <rFont val="맑은 고딕"/>
        <family val="0"/>
        <charset val="1"/>
      </rPr>
      <t xml:space="preserve">1</t>
    </r>
    <r>
      <rPr>
        <sz val="10"/>
        <rFont val="Noto Sans CJK SC"/>
        <family val="2"/>
      </rPr>
      <t xml:space="preserve">분 뒤 만료</t>
    </r>
    <r>
      <rPr>
        <sz val="10"/>
        <rFont val="맑은 고딕"/>
        <family val="0"/>
        <charset val="1"/>
      </rPr>
      <t xml:space="preserve">. setPending </t>
    </r>
    <r>
      <rPr>
        <sz val="10"/>
        <rFont val="Noto Sans CJK SC"/>
        <family val="2"/>
      </rPr>
      <t xml:space="preserve">때 만료된 항목을 함께 지움</t>
    </r>
    <r>
      <rPr>
        <sz val="10"/>
        <rFont val="맑은 고딕"/>
        <family val="0"/>
        <charset val="1"/>
      </rPr>
      <t xml:space="preserve">. </t>
    </r>
    <r>
      <rPr>
        <sz val="10"/>
        <rFont val="Noto Sans CJK SC"/>
        <family val="2"/>
      </rPr>
      <t xml:space="preserve">반드시 저장이 끝난 뒤</t>
    </r>
    <r>
      <rPr>
        <sz val="10"/>
        <rFont val="맑은 고딕"/>
        <family val="0"/>
        <charset val="1"/>
      </rPr>
      <t xml:space="preserve">(await) </t>
    </r>
    <r>
      <rPr>
        <sz val="10"/>
        <rFont val="Noto Sans CJK SC"/>
        <family val="2"/>
      </rPr>
      <t xml:space="preserve">옮기기 시작</t>
    </r>
  </si>
  <si>
    <t xml:space="preserve">F07, F13</t>
  </si>
  <si>
    <t xml:space="preserve">N15</t>
  </si>
  <si>
    <t xml:space="preserve">addHistory(entry) / markUndone(historyId)</t>
  </si>
  <si>
    <t xml:space="preserve">정리 기록 한 건 / 기록 ID</t>
  </si>
  <si>
    <t xml:space="preserve">정리 기록 추가, 되돌린 시각 기록</t>
  </si>
  <si>
    <t xml:space="preserve">history</t>
  </si>
  <si>
    <t xml:space="preserve">N16</t>
  </si>
  <si>
    <t xml:space="preserve">cleanupMissing(tree)</t>
  </si>
  <si>
    <t xml:space="preserve">북마크 목록</t>
  </si>
  <si>
    <t xml:space="preserve">지운 개수</t>
  </si>
  <si>
    <t xml:space="preserve">새 탭이 열릴 때, 크롬에 더 이상 없는 북마크 ID를 새 탭이 쓰는 저장 항목에서 지움</t>
  </si>
  <si>
    <t xml:space="preserve">pinned, lastOpenedByUs, dismissed, handledNew</t>
  </si>
  <si>
    <r>
      <rPr>
        <sz val="10"/>
        <rFont val="맑은 고딕"/>
        <family val="0"/>
        <charset val="1"/>
      </rPr>
      <t xml:space="preserve">history</t>
    </r>
    <r>
      <rPr>
        <sz val="10"/>
        <rFont val="Noto Sans CJK SC"/>
        <family val="2"/>
      </rPr>
      <t xml:space="preserve">는 지우지 않음</t>
    </r>
    <r>
      <rPr>
        <sz val="10"/>
        <rFont val="맑은 고딕"/>
        <family val="0"/>
        <charset val="1"/>
      </rPr>
      <t xml:space="preserve">(</t>
    </r>
    <r>
      <rPr>
        <sz val="10"/>
        <rFont val="Noto Sans CJK SC"/>
        <family val="2"/>
      </rPr>
      <t xml:space="preserve">기록 화면에서 제목을 보여 주기 위해</t>
    </r>
    <r>
      <rPr>
        <sz val="10"/>
        <rFont val="맑은 고딕"/>
        <family val="0"/>
        <charset val="1"/>
      </rPr>
      <t xml:space="preserve">). </t>
    </r>
    <r>
      <rPr>
        <sz val="10"/>
        <rFont val="Noto Sans CJK SC"/>
        <family val="2"/>
      </rPr>
      <t xml:space="preserve">서비스 워커가 쓰는 키는 건드리지 않음</t>
    </r>
  </si>
  <si>
    <t xml:space="preserve">N17</t>
  </si>
  <si>
    <t xml:space="preserve">classify(bookmark, categories)</t>
  </si>
  <si>
    <t xml:space="preserve">북마크 {title, url}, 분류표 { categories: [{ name, sites, suffixes, keywords }], noCategorySites: [] }</t>
  </si>
  <si>
    <r>
      <rPr>
        <sz val="10"/>
        <rFont val="맑은 고딕"/>
        <family val="0"/>
        <charset val="1"/>
      </rPr>
      <t xml:space="preserve">{ category, step: "site" | "suffix" | "keyword", rule, needsCheck } </t>
    </r>
    <r>
      <rPr>
        <sz val="10"/>
        <rFont val="Noto Sans CJK SC"/>
        <family val="2"/>
      </rPr>
      <t xml:space="preserve">또는 </t>
    </r>
    <r>
      <rPr>
        <sz val="10"/>
        <rFont val="맑은 고딕"/>
        <family val="0"/>
        <charset val="1"/>
      </rPr>
      <t xml:space="preserve">{ category: null }</t>
    </r>
  </si>
  <si>
    <t xml:space="preserve">분류표 → 주소 끝 → 제목 키워드 순서로 확인해 처음 맞는 곳에서 멈춤</t>
  </si>
  <si>
    <t xml:space="preserve">주소를 해석할 수 없으면 { category: null }. 크롬 API를 쓰지 않는 순수 함수
v11: 주소가 noCategorySites(분류하지 않는 사이트)에 맞으면 주소 끝·제목 키워드를 보지 않고 { category: null }. 분류표 항목과 함께 비교해 더 긴 주소를 따름. 호스트 비교는 점(.) 단위(같거나 '.'+항목으로 끝남). 제목 키워드는 띄어쓰기를 없애지 않고 비교</t>
  </si>
  <si>
    <t xml:space="preserve">#7</t>
  </si>
  <si>
    <t xml:space="preserve">N18</t>
  </si>
  <si>
    <t xml:space="preserve">measure(samples, answers, categories)</t>
  </si>
  <si>
    <t xml:space="preserve">샘플 북마크, 정답지, 분류표</t>
  </si>
  <si>
    <r>
      <rPr>
        <sz val="10"/>
        <rFont val="맑은 고딕"/>
        <family val="0"/>
        <charset val="1"/>
      </rPr>
      <t xml:space="preserve">{ coverage, accuracy, wrong } (</t>
    </r>
    <r>
      <rPr>
        <sz val="10"/>
        <rFont val="Noto Sans CJK SC"/>
        <family val="2"/>
      </rPr>
      <t xml:space="preserve">적용률</t>
    </r>
    <r>
      <rPr>
        <sz val="10"/>
        <rFont val="맑은 고딕"/>
        <family val="0"/>
        <charset val="1"/>
      </rPr>
      <t xml:space="preserve">, </t>
    </r>
    <r>
      <rPr>
        <sz val="10"/>
        <rFont val="Noto Sans CJK SC"/>
        <family val="2"/>
      </rPr>
      <t xml:space="preserve">정확도</t>
    </r>
    <r>
      <rPr>
        <sz val="10"/>
        <rFont val="맑은 고딕"/>
        <family val="0"/>
        <charset val="1"/>
      </rPr>
      <t xml:space="preserve">, </t>
    </r>
    <r>
      <rPr>
        <sz val="10"/>
        <rFont val="Noto Sans CJK SC"/>
        <family val="2"/>
      </rPr>
      <t xml:space="preserve">틀린 목록</t>
    </r>
    <r>
      <rPr>
        <sz val="10"/>
        <rFont val="맑은 고딕"/>
        <family val="0"/>
        <charset val="1"/>
      </rPr>
      <t xml:space="preserve">. v11</t>
    </r>
    <r>
      <rPr>
        <sz val="10"/>
        <rFont val="Noto Sans CJK SC"/>
        <family val="2"/>
      </rPr>
      <t xml:space="preserve">에서 이름 확정</t>
    </r>
    <r>
      <rPr>
        <sz val="10"/>
        <rFont val="맑은 고딕"/>
        <family val="0"/>
        <charset val="1"/>
      </rPr>
      <t xml:space="preserve">)</t>
    </r>
  </si>
  <si>
    <t xml:space="preserve">정답지와 비교해 적용률·정확도 계산</t>
  </si>
  <si>
    <t xml:space="preserve">N19</t>
  </si>
  <si>
    <t xml:space="preserve">getTargets(tree, stored, options, now)</t>
  </si>
  <si>
    <t xml:space="preserve">북마크 목록, 저장 항목, {북마크바 제외, 포함할 사용자 폴더}, 현재 시각</t>
  </si>
  <si>
    <t xml:space="preserve">정리 대상 북마크 배열</t>
  </si>
  <si>
    <t xml:space="preserve">북마크바·기타·모바일과 크롬 가져오기 폴더의 바로 아래에 흩어진 북마크를 고르고 제외 대상(사용자 폴더, 최근 30일 안에 북마크바에서 연 북마크, 직접 옮긴 북마크 등)을 뺌</t>
  </si>
  <si>
    <r>
      <rPr>
        <sz val="10"/>
        <rFont val="맑은 고딕"/>
        <family val="0"/>
        <charset val="1"/>
      </rPr>
      <t xml:space="preserve">loadTree</t>
    </r>
    <r>
      <rPr>
        <sz val="10"/>
        <rFont val="Noto Sans CJK SC"/>
        <family val="2"/>
      </rPr>
      <t xml:space="preserve">가 고른 북마크바</t>
    </r>
    <r>
      <rPr>
        <sz val="10"/>
        <rFont val="맑은 고딕"/>
        <family val="0"/>
        <charset val="1"/>
      </rPr>
      <t xml:space="preserve">·</t>
    </r>
    <r>
      <rPr>
        <sz val="10"/>
        <rFont val="Noto Sans CJK SC"/>
        <family val="2"/>
      </rPr>
      <t xml:space="preserve">기타</t>
    </r>
    <r>
      <rPr>
        <sz val="10"/>
        <rFont val="맑은 고딕"/>
        <family val="0"/>
        <charset val="1"/>
      </rPr>
      <t xml:space="preserve">·</t>
    </r>
    <r>
      <rPr>
        <sz val="10"/>
        <rFont val="Noto Sans CJK SC"/>
        <family val="2"/>
      </rPr>
      <t xml:space="preserve">모바일 북마크</t>
    </r>
    <r>
      <rPr>
        <sz val="10"/>
        <rFont val="맑은 고딕"/>
        <family val="0"/>
        <charset val="1"/>
      </rPr>
      <t xml:space="preserve">(roots)</t>
    </r>
    <r>
      <rPr>
        <sz val="10"/>
        <rFont val="Noto Sans CJK SC"/>
        <family val="2"/>
      </rPr>
      <t xml:space="preserve">의 바로 아래만 대상</t>
    </r>
    <r>
      <rPr>
        <sz val="10"/>
        <rFont val="맑은 고딕"/>
        <family val="0"/>
        <charset val="1"/>
      </rPr>
      <t xml:space="preserve">(v9: </t>
    </r>
    <r>
      <rPr>
        <sz val="10"/>
        <rFont val="Noto Sans CJK SC"/>
        <family val="2"/>
      </rPr>
      <t xml:space="preserve">북마크바 포함</t>
    </r>
    <r>
      <rPr>
        <sz val="10"/>
        <rFont val="맑은 고딕"/>
        <family val="0"/>
        <charset val="1"/>
      </rPr>
      <t xml:space="preserve">). </t>
    </r>
    <r>
      <rPr>
        <sz val="10"/>
        <rFont val="Noto Sans CJK SC"/>
        <family val="2"/>
      </rPr>
      <t xml:space="preserve">요즘 쓰는 북마크는 </t>
    </r>
    <r>
      <rPr>
        <sz val="10"/>
        <rFont val="맑은 고딕"/>
        <family val="0"/>
        <charset val="1"/>
      </rPr>
      <t xml:space="preserve">dateLastUsed</t>
    </r>
    <r>
      <rPr>
        <sz val="10"/>
        <rFont val="Noto Sans CJK SC"/>
        <family val="2"/>
      </rPr>
      <t xml:space="preserve">로 판단하고 </t>
    </r>
    <r>
      <rPr>
        <sz val="10"/>
        <rFont val="맑은 고딕"/>
        <family val="0"/>
        <charset val="1"/>
      </rPr>
      <t xml:space="preserve">now</t>
    </r>
    <r>
      <rPr>
        <sz val="10"/>
        <rFont val="Noto Sans CJK SC"/>
        <family val="2"/>
      </rPr>
      <t xml:space="preserve">를 입력으로 받아 테스트 가능</t>
    </r>
    <r>
      <rPr>
        <sz val="10"/>
        <rFont val="맑은 고딕"/>
        <family val="0"/>
        <charset val="1"/>
      </rPr>
      <t xml:space="preserve">. </t>
    </r>
    <r>
      <rPr>
        <sz val="10"/>
        <rFont val="Noto Sans CJK SC"/>
        <family val="2"/>
      </rPr>
      <t xml:space="preserve">기타 북마크가 두 개일 때 다른 쪽은 건드리지 않음
</t>
    </r>
    <r>
      <rPr>
        <sz val="10"/>
        <rFont val="맑은 고딕"/>
        <family val="0"/>
        <charset val="1"/>
      </rPr>
      <t xml:space="preserve">v12: </t>
    </r>
    <r>
      <rPr>
        <sz val="10"/>
        <rFont val="Noto Sans CJK SC"/>
        <family val="2"/>
      </rPr>
      <t xml:space="preserve">크롬의 가져오기 폴더</t>
    </r>
    <r>
      <rPr>
        <sz val="10"/>
        <rFont val="맑은 고딕"/>
        <family val="0"/>
        <charset val="1"/>
      </rPr>
      <t xml:space="preserve">(roots </t>
    </r>
    <r>
      <rPr>
        <sz val="10"/>
        <rFont val="Noto Sans CJK SC"/>
        <family val="2"/>
      </rPr>
      <t xml:space="preserve">바로 아래에 있고 이름이 목록에 있는 폴더</t>
    </r>
    <r>
      <rPr>
        <sz val="10"/>
        <rFont val="맑은 고딕"/>
        <family val="0"/>
        <charset val="1"/>
      </rPr>
      <t xml:space="preserve">)</t>
    </r>
    <r>
      <rPr>
        <sz val="10"/>
        <rFont val="Noto Sans CJK SC"/>
        <family val="2"/>
      </rPr>
      <t xml:space="preserve">는 사용자 폴더로 보지 않고</t>
    </r>
    <r>
      <rPr>
        <sz val="10"/>
        <rFont val="맑은 고딕"/>
        <family val="0"/>
        <charset val="1"/>
      </rPr>
      <t xml:space="preserve">, </t>
    </r>
    <r>
      <rPr>
        <sz val="10"/>
        <rFont val="Noto Sans CJK SC"/>
        <family val="2"/>
      </rPr>
      <t xml:space="preserve">그 바로 아래의 북마크도 대상에 넣음</t>
    </r>
    <r>
      <rPr>
        <sz val="10"/>
        <rFont val="맑은 고딕"/>
        <family val="0"/>
        <charset val="1"/>
      </rPr>
      <t xml:space="preserve">. </t>
    </r>
    <r>
      <rPr>
        <sz val="10"/>
        <rFont val="Noto Sans CJK SC"/>
        <family val="2"/>
      </rPr>
      <t xml:space="preserve">가져오기 폴더 안의 폴더는 사용자 폴더</t>
    </r>
    <r>
      <rPr>
        <sz val="10"/>
        <rFont val="맑은 고딕"/>
        <family val="0"/>
        <charset val="1"/>
      </rPr>
      <t xml:space="preserve">. </t>
    </r>
    <r>
      <rPr>
        <sz val="10"/>
        <rFont val="Noto Sans CJK SC"/>
        <family val="2"/>
      </rPr>
      <t xml:space="preserve">이름 목록은 </t>
    </r>
    <r>
      <rPr>
        <sz val="10"/>
        <rFont val="맑은 고딕"/>
        <family val="0"/>
        <charset val="1"/>
      </rPr>
      <t xml:space="preserve">plan.js </t>
    </r>
    <r>
      <rPr>
        <sz val="10"/>
        <rFont val="Noto Sans CJK SC"/>
        <family val="2"/>
      </rPr>
      <t xml:space="preserve">맨 위의 상수로 관리</t>
    </r>
    <r>
      <rPr>
        <sz val="10"/>
        <rFont val="맑은 고딕"/>
        <family val="0"/>
        <charset val="1"/>
      </rPr>
      <t xml:space="preserve">(</t>
    </r>
    <r>
      <rPr>
        <sz val="10"/>
        <rFont val="Noto Sans CJK SC"/>
        <family val="2"/>
      </rPr>
      <t xml:space="preserve">언어마다 이름이 다름</t>
    </r>
    <r>
      <rPr>
        <sz val="10"/>
        <rFont val="맑은 고딕"/>
        <family val="0"/>
        <charset val="1"/>
      </rPr>
      <t xml:space="preserve">. </t>
    </r>
    <r>
      <rPr>
        <sz val="10"/>
        <rFont val="Noto Sans CJK SC"/>
        <family val="2"/>
      </rPr>
      <t xml:space="preserve">함수의 입력은 바꾸지 않음</t>
    </r>
    <r>
      <rPr>
        <sz val="10"/>
        <rFont val="맑은 고딕"/>
        <family val="0"/>
        <charset val="1"/>
      </rPr>
      <t xml:space="preserve">). </t>
    </r>
    <r>
      <rPr>
        <sz val="10"/>
        <rFont val="Noto Sans CJK SC"/>
        <family val="2"/>
      </rPr>
      <t xml:space="preserve">이름 목록</t>
    </r>
    <r>
      <rPr>
        <sz val="10"/>
        <rFont val="맑은 고딕"/>
        <family val="0"/>
        <charset val="1"/>
      </rPr>
      <t xml:space="preserve">: "</t>
    </r>
    <r>
      <rPr>
        <sz val="10"/>
        <rFont val="Noto Sans CJK SC"/>
        <family val="2"/>
      </rPr>
      <t xml:space="preserve">가져온 북마크</t>
    </r>
    <r>
      <rPr>
        <sz val="10"/>
        <rFont val="맑은 고딕"/>
        <family val="0"/>
        <charset val="1"/>
      </rPr>
      <t xml:space="preserve">"(</t>
    </r>
    <r>
      <rPr>
        <sz val="10"/>
        <rFont val="Noto Sans CJK SC"/>
        <family val="2"/>
      </rPr>
      <t xml:space="preserve">한국어 크롬에서 </t>
    </r>
    <r>
      <rPr>
        <sz val="10"/>
        <rFont val="맑은 고딕"/>
        <family val="0"/>
        <charset val="1"/>
      </rPr>
      <t xml:space="preserve">HTML </t>
    </r>
    <r>
      <rPr>
        <sz val="10"/>
        <rFont val="Noto Sans CJK SC"/>
        <family val="2"/>
      </rPr>
      <t xml:space="preserve">가져오기로 확인</t>
    </r>
    <r>
      <rPr>
        <sz val="10"/>
        <rFont val="맑은 고딕"/>
        <family val="0"/>
        <charset val="1"/>
      </rPr>
      <t xml:space="preserve">, 10</t>
    </r>
    <r>
      <rPr>
        <sz val="10"/>
        <rFont val="Noto Sans CJK SC"/>
        <family val="2"/>
      </rPr>
      <t xml:space="preserve">월 </t>
    </r>
    <r>
      <rPr>
        <sz val="10"/>
        <rFont val="맑은 고딕"/>
        <family val="0"/>
        <charset val="1"/>
      </rPr>
      <t xml:space="preserve">7</t>
    </r>
    <r>
      <rPr>
        <sz val="10"/>
        <rFont val="Noto Sans CJK SC"/>
        <family val="2"/>
      </rPr>
      <t xml:space="preserve">일</t>
    </r>
    <r>
      <rPr>
        <sz val="10"/>
        <rFont val="맑은 고딕"/>
        <family val="0"/>
        <charset val="1"/>
      </rPr>
      <t xml:space="preserve">). </t>
    </r>
    <r>
      <rPr>
        <sz val="10"/>
        <rFont val="Noto Sans CJK SC"/>
        <family val="2"/>
      </rPr>
      <t xml:space="preserve">확인 필요</t>
    </r>
    <r>
      <rPr>
        <sz val="10"/>
        <rFont val="맑은 고딕"/>
        <family val="0"/>
        <charset val="1"/>
      </rPr>
      <t xml:space="preserve">: </t>
    </r>
    <r>
      <rPr>
        <sz val="10"/>
        <rFont val="Noto Sans CJK SC"/>
        <family val="2"/>
      </rPr>
      <t xml:space="preserve">영어 크롬의 </t>
    </r>
    <r>
      <rPr>
        <sz val="10"/>
        <rFont val="맑은 고딕"/>
        <family val="0"/>
        <charset val="1"/>
      </rPr>
      <t xml:space="preserve">"Imported", </t>
    </r>
    <r>
      <rPr>
        <sz val="10"/>
        <rFont val="Noto Sans CJK SC"/>
        <family val="2"/>
      </rPr>
      <t xml:space="preserve">다른 브라우저에서 가져온 경우의 </t>
    </r>
    <r>
      <rPr>
        <sz val="10"/>
        <rFont val="맑은 고딕"/>
        <family val="0"/>
        <charset val="1"/>
      </rPr>
      <t xml:space="preserve">"Imported From …"·"…</t>
    </r>
    <r>
      <rPr>
        <sz val="10"/>
        <rFont val="Noto Sans CJK SC"/>
        <family val="2"/>
      </rPr>
      <t xml:space="preserve">에서 가져옴</t>
    </r>
    <r>
      <rPr>
        <sz val="10"/>
        <rFont val="맑은 고딕"/>
        <family val="0"/>
        <charset val="1"/>
      </rPr>
      <t xml:space="preserve">", </t>
    </r>
    <r>
      <rPr>
        <sz val="10"/>
        <rFont val="Noto Sans CJK SC"/>
        <family val="2"/>
      </rPr>
      <t xml:space="preserve">같은 이름이 이미 있을 때 뒤에 붙는 </t>
    </r>
    <r>
      <rPr>
        <sz val="10"/>
        <rFont val="맑은 고딕"/>
        <family val="0"/>
        <charset val="1"/>
      </rPr>
      <t xml:space="preserve">" (1)" </t>
    </r>
    <r>
      <rPr>
        <sz val="10"/>
        <rFont val="Noto Sans CJK SC"/>
        <family val="2"/>
      </rPr>
      <t xml:space="preserve">같은 번호</t>
    </r>
  </si>
  <si>
    <t xml:space="preserve">#11</t>
  </si>
  <si>
    <t xml:space="preserve">N20</t>
  </si>
  <si>
    <t xml:space="preserve">makePlan(targets, categories)</t>
  </si>
  <si>
    <t xml:space="preserve">정리 대상, 분류표</t>
  </si>
  <si>
    <r>
      <rPr>
        <sz val="10"/>
        <rFont val="맑은 고딕"/>
        <family val="0"/>
        <charset val="1"/>
      </rPr>
      <t xml:space="preserve">{ type: "folders", folders: [{name, items, reasons}], rest } </t>
    </r>
    <r>
      <rPr>
        <sz val="10"/>
        <rFont val="Noto Sans CJK SC"/>
        <family val="2"/>
      </rPr>
      <t xml:space="preserve">또는 </t>
    </r>
    <r>
      <rPr>
        <sz val="10"/>
        <rFont val="맑은 고딕"/>
        <family val="0"/>
        <charset val="1"/>
      </rPr>
      <t xml:space="preserve">{ type: "pin", reason }</t>
    </r>
  </si>
  <si>
    <t xml:space="preserve">개수에 맞는 폴더 수를 정하고, 많은 카테고리부터 폴더로 계획</t>
  </si>
  <si>
    <r>
      <rPr>
        <sz val="10"/>
        <rFont val="맑은 고딕"/>
        <family val="0"/>
        <charset val="1"/>
      </rPr>
      <t xml:space="preserve">10</t>
    </r>
    <r>
      <rPr>
        <sz val="10"/>
        <rFont val="Noto Sans CJK SC"/>
        <family val="2"/>
      </rPr>
      <t xml:space="preserve">개 미만이거나 </t>
    </r>
    <r>
      <rPr>
        <sz val="10"/>
        <rFont val="맑은 고딕"/>
        <family val="0"/>
        <charset val="1"/>
      </rPr>
      <t xml:space="preserve">3</t>
    </r>
    <r>
      <rPr>
        <sz val="10"/>
        <rFont val="Noto Sans CJK SC"/>
        <family val="2"/>
      </rPr>
      <t xml:space="preserve">개 이상 모인 카테고리가 없으면 </t>
    </r>
    <r>
      <rPr>
        <sz val="10"/>
        <rFont val="맑은 고딕"/>
        <family val="0"/>
        <charset val="1"/>
      </rPr>
      <t xml:space="preserve">type: "pin"</t>
    </r>
  </si>
  <si>
    <t xml:space="preserve">F05, F06, F09</t>
  </si>
  <si>
    <t xml:space="preserve">N21</t>
  </si>
  <si>
    <t xml:space="preserve">pickPinCandidates(bookmarks, topSites, stored)</t>
  </si>
  <si>
    <t xml:space="preserve">북마크, 자주 방문한 사이트(없으면 빈 배열), 저장 항목</t>
  </si>
  <si>
    <t xml:space="preserve">북마크 최대 5개</t>
  </si>
  <si>
    <t xml:space="preserve">자주 방문한 사이트와 호스트가 같은 북마크 먼저, 부족하면 최근에 연 순</t>
  </si>
  <si>
    <r>
      <rPr>
        <sz val="10"/>
        <rFont val="맑은 고딕"/>
        <family val="0"/>
        <charset val="1"/>
      </rPr>
      <t xml:space="preserve">topSites</t>
    </r>
    <r>
      <rPr>
        <sz val="10"/>
        <rFont val="Noto Sans CJK SC"/>
        <family val="2"/>
      </rPr>
      <t xml:space="preserve">가 비어 있으면 최근에 연 순만</t>
    </r>
    <r>
      <rPr>
        <sz val="10"/>
        <rFont val="맑은 고딕"/>
        <family val="0"/>
        <charset val="1"/>
      </rPr>
      <t xml:space="preserve">. http·https</t>
    </r>
    <r>
      <rPr>
        <sz val="10"/>
        <rFont val="Noto Sans CJK SC"/>
        <family val="2"/>
      </rPr>
      <t xml:space="preserve">가 아닌 항목은 건너뜀</t>
    </r>
    <r>
      <rPr>
        <sz val="10"/>
        <rFont val="맑은 고딕"/>
        <family val="0"/>
        <charset val="1"/>
      </rPr>
      <t xml:space="preserve">. </t>
    </r>
    <r>
      <rPr>
        <sz val="10"/>
        <rFont val="Noto Sans CJK SC"/>
        <family val="2"/>
      </rPr>
      <t xml:space="preserve">연 적 없는 북마크는 후보가 아니므로 결과가 </t>
    </r>
    <r>
      <rPr>
        <sz val="10"/>
        <rFont val="맑은 고딕"/>
        <family val="0"/>
        <charset val="1"/>
      </rPr>
      <t xml:space="preserve">0</t>
    </r>
    <r>
      <rPr>
        <sz val="10"/>
        <rFont val="Noto Sans CJK SC"/>
        <family val="2"/>
      </rPr>
      <t xml:space="preserve">개일 수 있음</t>
    </r>
    <r>
      <rPr>
        <sz val="10"/>
        <rFont val="맑은 고딕"/>
        <family val="0"/>
        <charset val="1"/>
      </rPr>
      <t xml:space="preserve">(F09-09)</t>
    </r>
  </si>
  <si>
    <t xml:space="preserve">N22</t>
  </si>
  <si>
    <t xml:space="preserve">organize.js</t>
  </si>
  <si>
    <t xml:space="preserve">applyPlan(plan, type)</t>
  </si>
  <si>
    <t xml:space="preserve">폴더 계획 { folders: [{ name 또는 folderId, items }], keep? }, "first" | "new"</t>
  </si>
  <si>
    <t xml:space="preserve">정리 기록 한 건 { id, at, type, createdFolderIds, moves, fromOrder, skipped }</t>
  </si>
  <si>
    <t xml:space="preserve">폴더를 만들고 북마크를 옮긴 뒤 기록을 저장</t>
  </si>
  <si>
    <t xml:space="preserve">폴더 생성, 이동</t>
  </si>
  <si>
    <t xml:space="preserve">pendingMoves, history, handledNew</t>
  </si>
  <si>
    <t xml:space="preserve">순서: ① 모든 북마크의 원래 폴더와, 원래 폴더별 전체 순서(fromOrder)를 읽어 둠 ② 북마크바(roots.bar) 맨 뒤에 폴더 생성 ③ setPending(저장 완료까지 기다림) ④ 이동 ⑤ history 저장. 옮기지 못한 북마크는 건너뛰고 skipped에 개수를 담음. '그대로 두기'로 둔 새 북마크는 handledNew에 기록</t>
  </si>
  <si>
    <t xml:space="preserve">#4</t>
  </si>
  <si>
    <t xml:space="preserve">N23</t>
  </si>
  <si>
    <t xml:space="preserve">undo(historyId)</t>
  </si>
  <si>
    <t xml:space="preserve">정리 기록 ID</t>
  </si>
  <si>
    <t xml:space="preserve">{ restored, skipped, fallback }</t>
  </si>
  <si>
    <t xml:space="preserve">원래 순서가 앞인 것부터, 원래 순서에서 바로 앞에 있던 이웃의 뒤에 끼워 넣어 되돌림</t>
  </si>
  <si>
    <t xml:space="preserve">이동, 빈 폴더 삭제</t>
  </si>
  <si>
    <t xml:space="preserve">pendingMoves, history</t>
  </si>
  <si>
    <t xml:space="preserve">지금 그 정리가 넣은 폴더에 없는 북마크(직접 옮김)·삭제된 북마크는 skipped, 원래 폴더가 없으면 기타 북마크로 옮기고 fallback. 앞 이웃이 하나도 없으면 맨 앞으로. 북마크별 실제 목적지(원래 폴더 또는 기타 북마크)를 먼저 정한 뒤 setPending</t>
  </si>
  <si>
    <t xml:space="preserve">N24</t>
  </si>
  <si>
    <t xml:space="preserve">suggestForNew(newBookmarks, folders, categories)</t>
  </si>
  <si>
    <t xml:space="preserve">새 북마크, 현재 폴더, 분류표</t>
  </si>
  <si>
    <r>
      <rPr>
        <sz val="10"/>
        <rFont val="맑은 고딕"/>
        <family val="0"/>
        <charset val="1"/>
      </rPr>
      <t xml:space="preserve">[{ bookmarkId, folderId </t>
    </r>
    <r>
      <rPr>
        <sz val="10"/>
        <rFont val="Noto Sans CJK SC"/>
        <family val="2"/>
      </rPr>
      <t xml:space="preserve">또는 </t>
    </r>
    <r>
      <rPr>
        <sz val="10"/>
        <rFont val="맑은 고딕"/>
        <family val="0"/>
        <charset val="1"/>
      </rPr>
      <t xml:space="preserve">null }], </t>
    </r>
    <r>
      <rPr>
        <sz val="10"/>
        <rFont val="Noto Sans CJK SC"/>
        <family val="2"/>
      </rPr>
      <t xml:space="preserve">새 폴더 제안</t>
    </r>
  </si>
  <si>
    <t xml:space="preserve">새 북마크마다 추천 폴더를 정함</t>
  </si>
  <si>
    <t xml:space="preserve">추천할 폴더가 없으면 folderId: null (그대로 두기)</t>
  </si>
  <si>
    <t xml:space="preserve">N25</t>
  </si>
  <si>
    <t xml:space="preserve">forgotten.js</t>
  </si>
  <si>
    <t xml:space="preserve">lastOpened(bookmark, stored)</t>
  </si>
  <si>
    <t xml:space="preserve">북마크, 저장 항목</t>
  </si>
  <si>
    <t xml:space="preserve">{ time, source: "us" | "chrome" | "added" }</t>
  </si>
  <si>
    <t xml:space="preserve">마지막으로 연 시각과 그 출처</t>
  </si>
  <si>
    <r>
      <rPr>
        <sz val="10"/>
        <rFont val="맑은 고딕"/>
        <family val="0"/>
        <charset val="1"/>
      </rPr>
      <t xml:space="preserve">source</t>
    </r>
    <r>
      <rPr>
        <sz val="10"/>
        <rFont val="Noto Sans CJK SC"/>
        <family val="2"/>
      </rPr>
      <t xml:space="preserve">가 </t>
    </r>
    <r>
      <rPr>
        <sz val="10"/>
        <rFont val="맑은 고딕"/>
        <family val="0"/>
        <charset val="1"/>
      </rPr>
      <t xml:space="preserve">"added"</t>
    </r>
    <r>
      <rPr>
        <sz val="10"/>
        <rFont val="Noto Sans CJK SC"/>
        <family val="2"/>
      </rPr>
      <t xml:space="preserve">이면 화면에 </t>
    </r>
    <r>
      <rPr>
        <sz val="10"/>
        <rFont val="맑은 고딕"/>
        <family val="0"/>
        <charset val="1"/>
      </rPr>
      <t xml:space="preserve">"</t>
    </r>
    <r>
      <rPr>
        <sz val="10"/>
        <rFont val="Noto Sans CJK SC"/>
        <family val="2"/>
      </rPr>
      <t xml:space="preserve">연 기록 없음</t>
    </r>
    <r>
      <rPr>
        <sz val="10"/>
        <rFont val="맑은 고딕"/>
        <family val="0"/>
        <charset val="1"/>
      </rPr>
      <t xml:space="preserve">" </t>
    </r>
    <r>
      <rPr>
        <sz val="10"/>
        <rFont val="Noto Sans CJK SC"/>
        <family val="2"/>
      </rPr>
      <t xml:space="preserve">표시</t>
    </r>
  </si>
  <si>
    <t xml:space="preserve">#8</t>
  </si>
  <si>
    <t xml:space="preserve">N26</t>
  </si>
  <si>
    <t xml:space="preserve">pickForgotten(bookmarks, stored, now)</t>
  </si>
  <si>
    <t xml:space="preserve">북마크, 저장 항목, 현재 시각</t>
  </si>
  <si>
    <t xml:space="preserve">북마크 배열 (오래 안 연 순)</t>
  </si>
  <si>
    <r>
      <rPr>
        <sz val="10"/>
        <rFont val="맑은 고딕"/>
        <family val="0"/>
        <charset val="1"/>
      </rPr>
      <t xml:space="preserve">30</t>
    </r>
    <r>
      <rPr>
        <sz val="10"/>
        <rFont val="Noto Sans CJK SC"/>
        <family val="2"/>
      </rPr>
      <t xml:space="preserve">일 이상 안 연 북마크를 고르고 제외 대상을 뺌</t>
    </r>
    <r>
      <rPr>
        <sz val="10"/>
        <rFont val="맑은 고딕"/>
        <family val="0"/>
        <charset val="1"/>
      </rPr>
      <t xml:space="preserve">. </t>
    </r>
    <r>
      <rPr>
        <sz val="10"/>
        <rFont val="Noto Sans CJK SC"/>
        <family val="2"/>
      </rPr>
      <t xml:space="preserve">화면은 앞의 </t>
    </r>
    <r>
      <rPr>
        <sz val="10"/>
        <rFont val="맑은 고딕"/>
        <family val="0"/>
        <charset val="1"/>
      </rPr>
      <t xml:space="preserve">8</t>
    </r>
    <r>
      <rPr>
        <sz val="10"/>
        <rFont val="Noto Sans CJK SC"/>
        <family val="2"/>
      </rPr>
      <t xml:space="preserve">개만 표시</t>
    </r>
    <r>
      <rPr>
        <sz val="10"/>
        <rFont val="맑은 고딕"/>
        <family val="0"/>
        <charset val="1"/>
      </rPr>
      <t xml:space="preserve">(v9)</t>
    </r>
  </si>
  <si>
    <r>
      <rPr>
        <sz val="10"/>
        <rFont val="맑은 고딕"/>
        <family val="0"/>
        <charset val="1"/>
      </rPr>
      <t xml:space="preserve">now</t>
    </r>
    <r>
      <rPr>
        <sz val="10"/>
        <rFont val="Noto Sans CJK SC"/>
        <family val="2"/>
      </rPr>
      <t xml:space="preserve">를 입력으로 받아 날짜를 바꿔 가며 테스트 가능</t>
    </r>
  </si>
  <si>
    <t xml:space="preserve">N27</t>
  </si>
  <si>
    <t xml:space="preserve">searchBookmarks(query, bookmarks)</t>
  </si>
  <si>
    <t xml:space="preserve">입력 글자, 북마크</t>
  </si>
  <si>
    <t xml:space="preserve">일치하는 북마크 배열</t>
  </si>
  <si>
    <t xml:space="preserve">제목·주소 부분 일치(대소문자 무시)</t>
  </si>
  <si>
    <t xml:space="preserve">빈 입력이면 빈 배열</t>
  </si>
  <si>
    <t xml:space="preserve">#18</t>
  </si>
  <si>
    <t xml:space="preserve">N28</t>
  </si>
  <si>
    <t xml:space="preserve">isUrlLike(text)</t>
  </si>
  <si>
    <t xml:space="preserve">입력 글자</t>
  </si>
  <si>
    <r>
      <rPr>
        <sz val="10"/>
        <rFont val="맑은 고딕"/>
        <family val="0"/>
        <charset val="1"/>
      </rPr>
      <t xml:space="preserve">http(s)://</t>
    </r>
    <r>
      <rPr>
        <sz val="10"/>
        <rFont val="Noto Sans CJK SC"/>
        <family val="2"/>
      </rPr>
      <t xml:space="preserve">로 시작하거나 띄어쓰기 없이 점이 있으면 </t>
    </r>
    <r>
      <rPr>
        <sz val="10"/>
        <rFont val="맑은 고딕"/>
        <family val="0"/>
        <charset val="1"/>
      </rPr>
      <t xml:space="preserve">true</t>
    </r>
  </si>
  <si>
    <t xml:space="preserve">N29</t>
  </si>
  <si>
    <t xml:space="preserve">runWebSearch(text)</t>
  </si>
  <si>
    <t xml:space="preserve">주소면 이동, 아니면 기본 검색엔진으로 검색</t>
  </si>
  <si>
    <t xml:space="preserve">빈 입력이면 아무것도 하지 않음</t>
  </si>
  <si>
    <t xml:space="preserve">N30</t>
  </si>
  <si>
    <t xml:space="preserve">renderAll(tree, stored)</t>
  </si>
  <si>
    <t xml:space="preserve">북마크 목록, 저장 항목</t>
  </si>
  <si>
    <t xml:space="preserve">화면의 시작점. 헤더·날짜·화면 아래의 고정됨(독)·모든 북마크를 직접 그리고, 각 화면 파일(view/*)의 그리기 함수를 부름. 북마크 알림이나 저장소 변경이 오면 호출. 화면 파일끼리 서로 부르지 않도록, 다른 화면 파일의 동작이 필요한 그리기 함수에는 동작 묶음(actions)을 만들어 넘김(v13)</t>
  </si>
  <si>
    <t xml:space="preserve">북마크가 없으면 안내 문구. 크롬 북마크 알림과 저장소 알림은 이 파일만 받음 (v10)
v13: actions = { openFolder(folderId) → openFolderPopup, showResultNotice(entry) → showResultNotice, showContextMenu(bookmark) → showContextMenu }. 각 화면 파일은 자기 칸 안만 그림. 칸 이름은 file-structure.md 12번</t>
  </si>
  <si>
    <t xml:space="preserve">F01 ~ F04, F08, F12</t>
  </si>
  <si>
    <t xml:space="preserve">#15</t>
  </si>
  <si>
    <t xml:space="preserve">N31</t>
  </si>
  <si>
    <t xml:space="preserve">showFirstCard(plan, actions) / showOrganizeDialog(plan, actions) / showPinPicker()</t>
  </si>
  <si>
    <t xml:space="preserve">폴더 계획, 동작 묶음 { showResultNotice } / 폴더 계획, 동작 묶음 / 없음</t>
  </si>
  <si>
    <t xml:space="preserve">첫 정리 카드(또는 고정 제안 카드), 자세히 보기와 [정리하기] 창, 고정할 북마크 고르기 창 표시. 고정 제안의 [고정하기]에서 권한을 요청하고 자주 방문한 사이트 목록을 받아 plan.js에 넘김</t>
  </si>
  <si>
    <t xml:space="preserve">state.firstCard</t>
  </si>
  <si>
    <r>
      <rPr>
        <sz val="10"/>
        <rFont val="맑은 고딕"/>
        <family val="0"/>
        <charset val="1"/>
      </rPr>
      <t xml:space="preserve">Esc·</t>
    </r>
    <r>
      <rPr>
        <sz val="10"/>
        <rFont val="Noto Sans CJK SC"/>
        <family val="2"/>
      </rPr>
      <t xml:space="preserve">바깥 클릭으로 닫힘</t>
    </r>
    <r>
      <rPr>
        <sz val="10"/>
        <rFont val="맑은 고딕"/>
        <family val="0"/>
        <charset val="1"/>
      </rPr>
      <t xml:space="preserve">. </t>
    </r>
    <r>
      <rPr>
        <sz val="10"/>
        <rFont val="Noto Sans CJK SC"/>
        <family val="2"/>
      </rPr>
      <t xml:space="preserve">화면 파일끼리는 서로 부르지 않고 </t>
    </r>
    <r>
      <rPr>
        <sz val="10"/>
        <rFont val="맑은 고딕"/>
        <family val="0"/>
        <charset val="1"/>
      </rPr>
      <t xml:space="preserve">render.js</t>
    </r>
    <r>
      <rPr>
        <sz val="10"/>
        <rFont val="Noto Sans CJK SC"/>
        <family val="2"/>
      </rPr>
      <t xml:space="preserve">가 부름 </t>
    </r>
    <r>
      <rPr>
        <sz val="10"/>
        <rFont val="맑은 고딕"/>
        <family val="0"/>
        <charset val="1"/>
      </rPr>
      <t xml:space="preserve">(v10: render.js</t>
    </r>
    <r>
      <rPr>
        <sz val="10"/>
        <rFont val="Noto Sans CJK SC"/>
        <family val="2"/>
      </rPr>
      <t xml:space="preserve">에서 분리</t>
    </r>
    <r>
      <rPr>
        <sz val="10"/>
        <rFont val="맑은 고딕"/>
        <family val="0"/>
        <charset val="1"/>
      </rPr>
      <t xml:space="preserve">)
v13: </t>
    </r>
    <r>
      <rPr>
        <sz val="10"/>
        <rFont val="Noto Sans CJK SC"/>
        <family val="2"/>
      </rPr>
      <t xml:space="preserve">첫 정리 카드는 </t>
    </r>
    <r>
      <rPr>
        <sz val="10"/>
        <rFont val="맑은 고딕"/>
        <family val="0"/>
        <charset val="1"/>
      </rPr>
      <t xml:space="preserve">#organize-suggestion </t>
    </r>
    <r>
      <rPr>
        <sz val="10"/>
        <rFont val="Noto Sans CJK SC"/>
        <family val="2"/>
      </rPr>
      <t xml:space="preserve">칸에 그림</t>
    </r>
    <r>
      <rPr>
        <sz val="10"/>
        <rFont val="맑은 고딕"/>
        <family val="0"/>
        <charset val="1"/>
      </rPr>
      <t xml:space="preserve">. [</t>
    </r>
    <r>
      <rPr>
        <sz val="10"/>
        <rFont val="Noto Sans CJK SC"/>
        <family val="2"/>
      </rPr>
      <t xml:space="preserve">정리하기</t>
    </r>
    <r>
      <rPr>
        <sz val="10"/>
        <rFont val="맑은 고딕"/>
        <family val="0"/>
        <charset val="1"/>
      </rPr>
      <t xml:space="preserve">]</t>
    </r>
    <r>
      <rPr>
        <sz val="10"/>
        <rFont val="Noto Sans CJK SC"/>
        <family val="2"/>
      </rPr>
      <t xml:space="preserve">로 </t>
    </r>
    <r>
      <rPr>
        <sz val="10"/>
        <rFont val="맑은 고딕"/>
        <family val="0"/>
        <charset val="1"/>
      </rPr>
      <t xml:space="preserve">applyPlan</t>
    </r>
    <r>
      <rPr>
        <sz val="10"/>
        <rFont val="Noto Sans CJK SC"/>
        <family val="2"/>
      </rPr>
      <t xml:space="preserve">이 끝나면 </t>
    </r>
    <r>
      <rPr>
        <sz val="10"/>
        <rFont val="맑은 고딕"/>
        <family val="0"/>
        <charset val="1"/>
      </rPr>
      <t xml:space="preserve">actions.showResultNotice(entry)</t>
    </r>
    <r>
      <rPr>
        <sz val="10"/>
        <rFont val="Noto Sans CJK SC"/>
        <family val="2"/>
      </rPr>
      <t xml:space="preserve">를 부름</t>
    </r>
    <r>
      <rPr>
        <sz val="10"/>
        <rFont val="맑은 고딕"/>
        <family val="0"/>
        <charset val="1"/>
      </rPr>
      <t xml:space="preserve">. showOrganizeDialog</t>
    </r>
    <r>
      <rPr>
        <sz val="10"/>
        <rFont val="Noto Sans CJK SC"/>
        <family val="2"/>
      </rPr>
      <t xml:space="preserve">가 폴더 계획을 입력으로 받게 함</t>
    </r>
    <r>
      <rPr>
        <sz val="10"/>
        <rFont val="맑은 고딕"/>
        <family val="0"/>
        <charset val="1"/>
      </rPr>
      <t xml:space="preserve">(cards.js</t>
    </r>
    <r>
      <rPr>
        <sz val="10"/>
        <rFont val="Noto Sans CJK SC"/>
        <family val="2"/>
      </rPr>
      <t xml:space="preserve">는 </t>
    </r>
    <r>
      <rPr>
        <sz val="10"/>
        <rFont val="맑은 고딕"/>
        <family val="0"/>
        <charset val="1"/>
      </rPr>
      <t xml:space="preserve">plan.js</t>
    </r>
    <r>
      <rPr>
        <sz val="10"/>
        <rFont val="Noto Sans CJK SC"/>
        <family val="2"/>
      </rPr>
      <t xml:space="preserve">를 부르지 않음</t>
    </r>
    <r>
      <rPr>
        <sz val="10"/>
        <rFont val="맑은 고딕"/>
        <family val="0"/>
        <charset val="1"/>
      </rPr>
      <t xml:space="preserve">). </t>
    </r>
    <r>
      <rPr>
        <sz val="10"/>
        <rFont val="Noto Sans CJK SC"/>
        <family val="2"/>
      </rPr>
      <t xml:space="preserve">새 북마크 정리</t>
    </r>
    <r>
      <rPr>
        <sz val="10"/>
        <rFont val="맑은 고딕"/>
        <family val="0"/>
        <charset val="1"/>
      </rPr>
      <t xml:space="preserve">(F10)</t>
    </r>
    <r>
      <rPr>
        <sz val="10"/>
        <rFont val="Noto Sans CJK SC"/>
        <family val="2"/>
      </rPr>
      <t xml:space="preserve">와 고르기 창</t>
    </r>
    <r>
      <rPr>
        <sz val="10"/>
        <rFont val="맑은 고딕"/>
        <family val="0"/>
        <charset val="1"/>
      </rPr>
      <t xml:space="preserve">(F09)</t>
    </r>
    <r>
      <rPr>
        <sz val="10"/>
        <rFont val="Noto Sans CJK SC"/>
        <family val="2"/>
      </rPr>
      <t xml:space="preserve">에 필요한 입력은 </t>
    </r>
    <r>
      <rPr>
        <sz val="10"/>
        <rFont val="맑은 고딕"/>
        <family val="0"/>
        <charset val="1"/>
      </rPr>
      <t xml:space="preserve">P2</t>
    </r>
    <r>
      <rPr>
        <sz val="10"/>
        <rFont val="Noto Sans CJK SC"/>
        <family val="2"/>
      </rPr>
      <t xml:space="preserve">를 시작할 때 정함</t>
    </r>
  </si>
  <si>
    <t xml:space="preserve">F06, F09, F10</t>
  </si>
  <si>
    <t xml:space="preserve">#17</t>
  </si>
  <si>
    <t xml:space="preserve">N32</t>
  </si>
  <si>
    <r>
      <rPr>
        <sz val="10"/>
        <rFont val="맑은 고딕"/>
        <family val="0"/>
        <charset val="1"/>
      </rPr>
      <t xml:space="preserve">onCreated </t>
    </r>
    <r>
      <rPr>
        <sz val="10"/>
        <rFont val="Noto Sans CJK SC"/>
        <family val="2"/>
      </rPr>
      <t xml:space="preserve">처리</t>
    </r>
  </si>
  <si>
    <t xml:space="preserve">북마크바·기타·모바일 바로 아래에 저장된 새 북마크를 newBookmarks에 추가</t>
  </si>
  <si>
    <t xml:space="preserve">newBookmarks</t>
  </si>
  <si>
    <t xml:space="preserve">가져오기 중이거나, 폴더이거나, 사용자 폴더 안에 저장된 것이면 추가하지 않음</t>
  </si>
  <si>
    <t xml:space="preserve">#6</t>
  </si>
  <si>
    <t xml:space="preserve">N33</t>
  </si>
  <si>
    <r>
      <rPr>
        <sz val="10"/>
        <rFont val="맑은 고딕"/>
        <family val="0"/>
        <charset val="1"/>
      </rPr>
      <t xml:space="preserve">onMoved </t>
    </r>
    <r>
      <rPr>
        <sz val="10"/>
        <rFont val="Noto Sans CJK SC"/>
        <family val="2"/>
      </rPr>
      <t xml:space="preserve">처리</t>
    </r>
  </si>
  <si>
    <t xml:space="preserve">(id, moveInfo)</t>
  </si>
  <si>
    <t xml:space="preserve">폴더가 바뀐 이동이면 newBookmarks에서 지우고, 우리 정리의 이동(isPending)이 아니면 직접 옮김으로 기록</t>
  </si>
  <si>
    <t xml:space="preserve">manualMoves, newBookmarks</t>
  </si>
  <si>
    <t xml:space="preserve">순서만 바뀐 이동은 기록하지 않음. 알림이 동시에 여러 개 와도 순서대로 처리(update 사용)</t>
  </si>
  <si>
    <t xml:space="preserve">N34</t>
  </si>
  <si>
    <r>
      <rPr>
        <sz val="10"/>
        <rFont val="맑은 고딕"/>
        <family val="0"/>
        <charset val="1"/>
      </rPr>
      <t xml:space="preserve">onRemoved </t>
    </r>
    <r>
      <rPr>
        <sz val="10"/>
        <rFont val="Noto Sans CJK SC"/>
        <family val="2"/>
      </rPr>
      <t xml:space="preserve">처리</t>
    </r>
  </si>
  <si>
    <t xml:space="preserve">(id, removeInfo)</t>
  </si>
  <si>
    <t xml:space="preserve">삭제된 북마크(폴더면 안의 북마크까지) ID를 서비스 워커가 쓰는 항목에서 정리</t>
  </si>
  <si>
    <t xml:space="preserve">새 탭이 쓰는 항목은 cleanupMissing이 정리</t>
  </si>
  <si>
    <t xml:space="preserve">N35</t>
  </si>
  <si>
    <t xml:space="preserve">suggestSubfolders(folderItems)</t>
  </si>
  <si>
    <t xml:space="preserve">폴더 안 북마크</t>
  </si>
  <si>
    <t xml:space="preserve">[{ word, items }]</t>
  </si>
  <si>
    <t xml:space="preserve">제목에 반복되는 주제 단어(북마크 3개 이상, 사이트 2곳 이상)로 세부 폴더 제안</t>
  </si>
  <si>
    <t xml:space="preserve">조건에 맞는 단어가 없으면 빈 배열</t>
  </si>
  <si>
    <t xml:space="preserve">#12</t>
  </si>
  <si>
    <t xml:space="preserve">N36</t>
  </si>
  <si>
    <t xml:space="preserve">initDnd(container)</t>
  </si>
  <si>
    <t xml:space="preserve">화면 영역</t>
  </si>
  <si>
    <r>
      <rPr>
        <sz val="10"/>
        <rFont val="맑은 고딕"/>
        <family val="0"/>
        <charset val="1"/>
      </rPr>
      <t xml:space="preserve">SortableJS</t>
    </r>
    <r>
      <rPr>
        <sz val="10"/>
        <rFont val="Noto Sans CJK SC"/>
        <family val="2"/>
      </rPr>
      <t xml:space="preserve">로 순서 바꾸기</t>
    </r>
    <r>
      <rPr>
        <sz val="10"/>
        <rFont val="맑은 고딕"/>
        <family val="0"/>
        <charset val="1"/>
      </rPr>
      <t xml:space="preserve">, </t>
    </r>
    <r>
      <rPr>
        <sz val="10"/>
        <rFont val="Noto Sans CJK SC"/>
        <family val="2"/>
      </rPr>
      <t xml:space="preserve">폴더 위에 놓기는 직접 구현</t>
    </r>
  </si>
  <si>
    <t xml:space="preserve">없음 (직접 옮김은 서비스 워커가 기록)</t>
  </si>
  <si>
    <t xml:space="preserve">놓을 수 없는 곳이면 원래 자리로. 같은 폴더 안에서 뒤쪽으로 옮길 때는 순서 번호에 1을 더함</t>
  </si>
  <si>
    <t xml:space="preserve">#19</t>
  </si>
  <si>
    <t xml:space="preserve">N37</t>
  </si>
  <si>
    <t xml:space="preserve">suggestNewFolders(tree, stored, categories)</t>
  </si>
  <si>
    <t xml:space="preserve">북마크 목록, 저장 항목, 분류표</t>
  </si>
  <si>
    <t xml:space="preserve">[{ name, items }]</t>
  </si>
  <si>
    <t xml:space="preserve">폴더 밖에 같은 카테고리가 3개 이상 모였고 우리가 만든 폴더 수가 상한 미만이면 새 폴더를 제안</t>
  </si>
  <si>
    <t xml:space="preserve">같은 이름의 폴더가 이미 있으면 제안하지 않음. 상한에 찼으면 빈 배열</t>
  </si>
  <si>
    <t xml:space="preserve">N38</t>
  </si>
  <si>
    <t xml:space="preserve">setFirstCard(value)</t>
  </si>
  <si>
    <t xml:space="preserve">"pending" | "done" | "later"</t>
  </si>
  <si>
    <t xml:space="preserve">첫 정리 카드 상태를 바꿈</t>
  </si>
  <si>
    <t xml:space="preserve">state</t>
  </si>
  <si>
    <t xml:space="preserve">새 탭만 호출</t>
  </si>
  <si>
    <t xml:space="preserve">N39</t>
  </si>
  <si>
    <t xml:space="preserve">markHandledNew(ids)</t>
  </si>
  <si>
    <t xml:space="preserve">북마크 ID 배열</t>
  </si>
  <si>
    <r>
      <rPr>
        <sz val="10"/>
        <rFont val="맑은 고딕"/>
        <family val="0"/>
        <charset val="1"/>
      </rPr>
      <t xml:space="preserve">'</t>
    </r>
    <r>
      <rPr>
        <sz val="10"/>
        <rFont val="Noto Sans CJK SC"/>
        <family val="2"/>
      </rPr>
      <t xml:space="preserve">그대로 두기</t>
    </r>
    <r>
      <rPr>
        <sz val="10"/>
        <rFont val="맑은 고딕"/>
        <family val="0"/>
        <charset val="1"/>
      </rPr>
      <t xml:space="preserve">'</t>
    </r>
    <r>
      <rPr>
        <sz val="10"/>
        <rFont val="Noto Sans CJK SC"/>
        <family val="2"/>
      </rPr>
      <t xml:space="preserve">로 둔 새 북마크를 기록</t>
    </r>
  </si>
  <si>
    <t xml:space="preserve">handledNew</t>
  </si>
  <si>
    <t xml:space="preserve">새 탭만 호출 (applyPlan이 부름)</t>
  </si>
  <si>
    <t xml:space="preserve">N40</t>
  </si>
  <si>
    <t xml:space="preserve">addNew(id) / removeNew(id) / purgeWorkerKeys(ids)</t>
  </si>
  <si>
    <t xml:space="preserve">북마크 ID / ID 배열</t>
  </si>
  <si>
    <t xml:space="preserve">새 북마크 목록에 추가·제거. 삭제된 북마크 ID를 서비스 워커가 쓰는 항목에서 지움</t>
  </si>
  <si>
    <t xml:space="preserve">newBookmarks, manualMoves</t>
  </si>
  <si>
    <t xml:space="preserve">서비스 워커만 호출</t>
  </si>
  <si>
    <t xml:space="preserve">N41</t>
  </si>
  <si>
    <t xml:space="preserve">showFolders(tree) / openFolderPopup(folderId) / showContextMenu(bookmark)</t>
  </si>
  <si>
    <t xml:space="preserve">북마크 목록 / 폴더 ID / 북마크</t>
  </si>
  <si>
    <t xml:space="preserve">내 폴더 줄과 폴더 팝업(폴더 안의 폴더 포함) 표시, 폴더 만들기·이름 바꾸기·삭제, 우클릭 메뉴</t>
  </si>
  <si>
    <t xml:space="preserve">없음 (bookmarks.js를 거쳐 바꿈)</t>
  </si>
  <si>
    <t xml:space="preserve">Esc·바깥 클릭으로 닫힘. 팝업은 한 줄 4개, 넘치면 팝업 안에서 스크롤 (v10: render.js에서 분리)
v13: showFolders가 내 폴더 줄을 #folder-list 칸에 그림(render.js가 부름). 그릴 때마다 칸을 비우고 다시 그리며, 열려 있는 팝업은 닫지 않음</t>
  </si>
  <si>
    <t xml:space="preserve">F03, F15</t>
  </si>
  <si>
    <t xml:space="preserve">#13</t>
  </si>
  <si>
    <t xml:space="preserve">N42</t>
  </si>
  <si>
    <t xml:space="preserve">view/forgottenFolder.js</t>
  </si>
  <si>
    <t xml:space="preserve">showForgotten(items, actions)</t>
  </si>
  <si>
    <t xml:space="preserve">pickForgotten의 결과, 동작 묶음 { openFolder, showContextMenu }</t>
  </si>
  <si>
    <t xml:space="preserve">잊고 있던 북마크 폴더(개수 배지)와 팝업 표시. 앞의 8개만 보여 주고, 열기·고정하기·이제 안 봐도 됨·어디 있는지 보기를 처리</t>
  </si>
  <si>
    <t xml:space="preserve">없음 (store.js를 거쳐 기록)</t>
  </si>
  <si>
    <t xml:space="preserve">후보가 0개면 폴더를 숨김. [이제 안 봐도 됨]의 되돌리기 안내는 6초 (v10: render.js에서 분리)
v13: #forgotten-slot 칸에 그림. [어디 있는지 보기]는 actions.openFolder(folderId)를 부름(다른 화면 파일을 직접 부르지 않음)</t>
  </si>
  <si>
    <t xml:space="preserve">#9</t>
  </si>
  <si>
    <t xml:space="preserve">N43</t>
  </si>
  <si>
    <t xml:space="preserve">view/history.js</t>
  </si>
  <si>
    <t xml:space="preserve">showResultNotice(entry) / showHistory()</t>
  </si>
  <si>
    <t xml:space="preserve">정리 기록 한 건 / 없음</t>
  </si>
  <si>
    <t xml:space="preserve">정리 결과 안내([되돌리기], 12초)와 정리 기록 화면 표시. [되돌리기]는 organize.js의 undo를 부름</t>
  </si>
  <si>
    <t xml:space="preserve">없음 (organize.js를 거쳐 바꿈)</t>
  </si>
  <si>
    <t xml:space="preserve">이미 되돌린 내역은 "되돌림" 표시. 내역이 없으면 안내 문구 (v10: render.js에서 분리)
v13: 정리 결과 안내는 #notice 칸에 그림. cards.js가 actions.showResultNotice로 부름</t>
  </si>
  <si>
    <t xml:space="preserve">#5</t>
  </si>
  <si>
    <t xml:space="preserve">N44</t>
  </si>
  <si>
    <t xml:space="preserve">ui.js</t>
  </si>
  <si>
    <t xml:space="preserve">appIcon(bookmark, size)</t>
  </si>
  <si>
    <t xml:space="preserve">북마크 {title, url}, 크기(px, 기본 56)</t>
  </si>
  <si>
    <t xml:space="preserve">아이콘 요소 (HTMLElement)</t>
  </si>
  <si>
    <t xml:space="preserve">색 타일 위에 파비콘을 올린 앱 아이콘을 만든다. 파비콘이 없으면 제목의 첫 글자를 넣는다. 모든 화면 파일이 이 함수로 아이콘을 그린다</t>
  </si>
  <si>
    <t xml:space="preserve">파비콘 주소와 유무는 bookmarks.js의 faviconUrl·hasFavicon을 거침. 타일 색을 정하는 규칙은 담당이 정함 (v11 추가: 화면 파일마다 아이콘을 따로 그리지 않게 함)</t>
  </si>
  <si>
    <t xml:space="preserve">#16</t>
  </si>
  <si>
    <t xml:space="preserve">N45</t>
  </si>
  <si>
    <t xml:space="preserve">showToast(message, options)</t>
  </si>
  <si>
    <t xml:space="preserve">안내 문구, { actionLabel, onAction, duration } (duration 기본 2.2초)</t>
  </si>
  <si>
    <t xml:space="preserve">짧은 안내 문구를 띄우고 시간이 지나면 지운다. actionLabel이 있으면 버튼([되돌리기] 등)을 함께 보여 주고, 누르면 onAction을 부른다</t>
  </si>
  <si>
    <t xml:space="preserve">한 번에 하나만 표시(새 문구가 이전 것을 바꿈). 정리 결과 안내(12초)는 view/history.js의 showResultNotice가 따로 그림 (v11 추가)
v13: #toast 칸에 그림</t>
  </si>
  <si>
    <t xml:space="preserve">F02, F04, F08</t>
  </si>
  <si>
    <t xml:space="preserve">N46</t>
  </si>
  <si>
    <t xml:space="preserve">icon(name, size)</t>
  </si>
  <si>
    <t xml:space="preserve">아이콘 이름, 크기(px, 기본 20)</t>
  </si>
  <si>
    <t xml:space="preserve">아이콘 요소 (SVGElement)</t>
  </si>
  <si>
    <t xml:space="preserve">선으로 그린 공통 아이콘을 만든다: bookmark, check, chevron, clock, close, folder, grid, history, lock, plus, search, sparkles</t>
  </si>
  <si>
    <t xml:space="preserve">없는 이름이면 빈 요소. 그림 파일이나 외부 아이콘 글꼴을 쓰지 않음 (v11 추가)</t>
  </si>
  <si>
    <t xml:space="preserve">키</t>
  </si>
  <si>
    <t xml:space="preserve">형태</t>
  </si>
  <si>
    <t xml:space="preserve">뜻</t>
  </si>
  <si>
    <t xml:space="preserve">쓰는 쪽</t>
  </si>
  <si>
    <t xml:space="preserve">읽는 쪽</t>
  </si>
  <si>
    <r>
      <rPr>
        <sz val="10"/>
        <rFont val="맑은 고딕"/>
        <family val="0"/>
        <charset val="1"/>
      </rPr>
      <t xml:space="preserve">[</t>
    </r>
    <r>
      <rPr>
        <sz val="10"/>
        <rFont val="Noto Sans CJK SC"/>
        <family val="2"/>
      </rPr>
      <t xml:space="preserve">북마크</t>
    </r>
    <r>
      <rPr>
        <sz val="10"/>
        <rFont val="맑은 고딕"/>
        <family val="0"/>
        <charset val="1"/>
      </rPr>
      <t xml:space="preserve">ID, …]</t>
    </r>
  </si>
  <si>
    <t xml:space="preserve">화면 아래의 고정됨(독)에 고정한 북마크 (표시 순서대로, 최대 8개)</t>
  </si>
  <si>
    <t xml:space="preserve">새 탭</t>
  </si>
  <si>
    <r>
      <rPr>
        <sz val="10"/>
        <rFont val="맑은 고딕"/>
        <family val="0"/>
        <charset val="1"/>
      </rPr>
      <t xml:space="preserve">{ </t>
    </r>
    <r>
      <rPr>
        <sz val="10"/>
        <rFont val="Noto Sans CJK SC"/>
        <family val="2"/>
      </rPr>
      <t xml:space="preserve">북마크</t>
    </r>
    <r>
      <rPr>
        <sz val="10"/>
        <rFont val="맑은 고딕"/>
        <family val="0"/>
        <charset val="1"/>
      </rPr>
      <t xml:space="preserve">ID: </t>
    </r>
    <r>
      <rPr>
        <sz val="10"/>
        <rFont val="Noto Sans CJK SC"/>
        <family val="2"/>
      </rPr>
      <t xml:space="preserve">시각</t>
    </r>
    <r>
      <rPr>
        <sz val="10"/>
        <rFont val="맑은 고딕"/>
        <family val="0"/>
        <charset val="1"/>
      </rPr>
      <t xml:space="preserve">(ms) }</t>
    </r>
  </si>
  <si>
    <t xml:space="preserve">우리 새 탭에서 연 시각</t>
  </si>
  <si>
    <t xml:space="preserve">F02, F04, F09</t>
  </si>
  <si>
    <r>
      <rPr>
        <sz val="10"/>
        <rFont val="맑은 고딕"/>
        <family val="0"/>
        <charset val="1"/>
      </rPr>
      <t xml:space="preserve">"</t>
    </r>
    <r>
      <rPr>
        <sz val="10"/>
        <rFont val="Noto Sans CJK SC"/>
        <family val="2"/>
      </rPr>
      <t xml:space="preserve">이제 안 봐도 됨</t>
    </r>
    <r>
      <rPr>
        <sz val="10"/>
        <rFont val="맑은 고딕"/>
        <family val="0"/>
        <charset val="1"/>
      </rPr>
      <t xml:space="preserve">"</t>
    </r>
    <r>
      <rPr>
        <sz val="10"/>
        <rFont val="Noto Sans CJK SC"/>
        <family val="2"/>
      </rPr>
      <t xml:space="preserve">을 누른 북마크</t>
    </r>
  </si>
  <si>
    <t xml:space="preserve">사용자가 직접 옮긴 북마크 (다음 정리에서 제외)</t>
  </si>
  <si>
    <t xml:space="preserve">서비스 워커</t>
  </si>
  <si>
    <t xml:space="preserve">F05, F07, F15, F17</t>
  </si>
  <si>
    <t xml:space="preserve">폴더 밖에 새로 저장되고 아직 옮기지 않은 북마크</t>
  </si>
  <si>
    <t xml:space="preserve">새 북마크 중 [정리하기]에서 '그대로 두기'로 둔 것. "새로" 표시와 버튼 개수 = newBookmarks에서 handledNew를 뺀 것</t>
  </si>
  <si>
    <r>
      <rPr>
        <sz val="10"/>
        <rFont val="맑은 고딕"/>
        <family val="0"/>
        <charset val="1"/>
      </rPr>
      <t xml:space="preserve">{ </t>
    </r>
    <r>
      <rPr>
        <sz val="10"/>
        <rFont val="Noto Sans CJK SC"/>
        <family val="2"/>
      </rPr>
      <t xml:space="preserve">북마크</t>
    </r>
    <r>
      <rPr>
        <sz val="10"/>
        <rFont val="맑은 고딕"/>
        <family val="0"/>
        <charset val="1"/>
      </rPr>
      <t xml:space="preserve">ID: { toParentId, at } }</t>
    </r>
  </si>
  <si>
    <t xml:space="preserve">우리 정리가 옮기는 북마크의 목적지와 시각 (1분 뒤 만료)</t>
  </si>
  <si>
    <r>
      <rPr>
        <sz val="10"/>
        <rFont val="맑은 고딕"/>
        <family val="0"/>
        <charset val="1"/>
      </rPr>
      <t xml:space="preserve">[{ id, at, type, createdFolderIds, moves: [{bookmarkId, title, fromParentId, fromIndex, toParentId}], fromOrder: { </t>
    </r>
    <r>
      <rPr>
        <sz val="10"/>
        <rFont val="Noto Sans CJK SC"/>
        <family val="2"/>
      </rPr>
      <t xml:space="preserve">원래 폴더</t>
    </r>
    <r>
      <rPr>
        <sz val="10"/>
        <rFont val="맑은 고딕"/>
        <family val="0"/>
        <charset val="1"/>
      </rPr>
      <t xml:space="preserve">ID: [</t>
    </r>
    <r>
      <rPr>
        <sz val="10"/>
        <rFont val="Noto Sans CJK SC"/>
        <family val="2"/>
      </rPr>
      <t xml:space="preserve">북마크</t>
    </r>
    <r>
      <rPr>
        <sz val="10"/>
        <rFont val="맑은 고딕"/>
        <family val="0"/>
        <charset val="1"/>
      </rPr>
      <t xml:space="preserve">ID, …] }, skipped, undoneAt }]</t>
    </r>
  </si>
  <si>
    <t xml:space="preserve">정리 기록. type은 "first"(첫 정리) 또는 "new"(새 북마크 정리). fromOrder는 정리 직전 원래 폴더의 전체 순서(되돌릴 때 사용)</t>
  </si>
  <si>
    <t xml:space="preserve">F07, F10, F13</t>
  </si>
  <si>
    <t xml:space="preserve">{ firstCard: "pending" | "done" | "later" }</t>
  </si>
  <si>
    <t xml:space="preserve">첫 정리 카드 상태 (값이 없으면 pending으로 봄)</t>
  </si>
  <si>
    <t xml:space="preserve">F06, F09</t>
  </si>
  <si>
    <t xml:space="preserve">참고</t>
  </si>
  <si>
    <t xml:space="preserve">한 키는 한쪽(새 탭 또는 서비스 워커)만 쓴다. 두 쪽이 같은 키를 동시에 고치면 한쪽 값이 사라지기 때문이다(실행 확인: 120번 쓴 것 중 91개만 남음). 새 탭을 두 개 열어 놓고 같은 순간에 조작하는 경우는 드물어 따로 막지 않는다. 모두 chrome.storage.local에 저장하며 이 PC에만 남는다. 북마크 ID도 이 PC 안에서만 유효하다. 북마크 원본(제목·주소)은 저장하지 않고, history의 title만 기록 화면 표시용으로 남긴다.</t>
  </si>
  <si>
    <t xml:space="preserve">이 파일이 하는 일</t>
  </si>
  <si>
    <t xml:space="preserve">들어 있는 도메인</t>
  </si>
  <si>
    <t xml:space="preserve">작성 방식 (프로토타입은 참고만)</t>
  </si>
  <si>
    <t xml:space="preserve">이슈</t>
  </si>
  <si>
    <t xml:space="preserve">확장 프로그램의 설정 파일. 필요한 권한, 새 탭 바꾸기, 서비스 워커를 등록한다</t>
  </si>
  <si>
    <t xml:space="preserve">새로 작성</t>
  </si>
  <si>
    <t xml:space="preserve">#1</t>
  </si>
  <si>
    <t xml:space="preserve">서비스 워커. 새 탭이 닫혀 있어도 북마크가 새로 저장·이동·삭제되는 것을 받아 저장소에 기록한다</t>
  </si>
  <si>
    <t xml:space="preserve">새 북마크 정리, 직접 옮김 감지, 저장 항목</t>
  </si>
  <si>
    <t xml:space="preserve">새로 작성 (프로토타입에 검증된 참고 코드 있음)</t>
  </si>
  <si>
    <t xml:space="preserve">js/store.js</t>
  </si>
  <si>
    <t xml:space="preserve">저장 항목을 읽고 쓰는 통로. 고정 목록, 연 시각, 정리 기록, '옮기는 중' 표시 등 모든 저장이 이 파일을 거친다</t>
  </si>
  <si>
    <t xml:space="preserve">저장 항목, 고정(독), 재발견, 직접 옮김 감지, 되돌리기·정리 기록</t>
  </si>
  <si>
    <t xml:space="preserve">js/bookmarks.js</t>
  </si>
  <si>
    <t xml:space="preserve">크롬 북마크를 읽고 바꾸는 통로. 전체 읽기, 폴더 만들기·이름 바꾸기·삭제, 북마크 옮기기·열기, 파비콘</t>
  </si>
  <si>
    <t xml:space="preserve">북마크 동기화, 앱 폴더, 정리 적용, 앱 표시·열기</t>
  </si>
  <si>
    <t xml:space="preserve">js/organize.js</t>
  </si>
  <si>
    <t xml:space="preserve">북마크를 실제로 바꾸는 정리 코드. 계획대로 옮기고 기록을 남기며, 기록을 보고 되돌린다</t>
  </si>
  <si>
    <t xml:space="preserve">정리 적용, 되돌리기·정리 기록</t>
  </si>
  <si>
    <t xml:space="preserve">js/classify.js</t>
  </si>
  <si>
    <t xml:space="preserve">북마크 하나를 카테고리에 넣는 규칙. 정답지로 정확도를 재고, 새 북마크의 추천 폴더를 정한다 (계산만 함)</t>
  </si>
  <si>
    <t xml:space="preserve">분류 규칙, 새 북마크 정리</t>
  </si>
  <si>
    <t xml:space="preserve">data/categories.json</t>
  </si>
  <si>
    <t xml:space="preserve">사이트 분류표, 주소 끝 규칙, 제목 키워드, 분류하지 않는 사이트. 코드가 아니라 데이터라서 사이트를 추가할 때 이 파일과 category-definitions.md 10번만 고친다</t>
  </si>
  <si>
    <t xml:space="preserve">작성함 (v11, category-definitions.md 10번을 옮김)</t>
  </si>
  <si>
    <t xml:space="preserve">#10</t>
  </si>
  <si>
    <t xml:space="preserve">js/forgotten.js</t>
  </si>
  <si>
    <t xml:space="preserve">마지막으로 연 시각을 정하고, 30일 넘게 안 연 북마크를 오래 안 연 순으로 고른다. 화면은 8개까지 보여 준다 (계산만 함)</t>
  </si>
  <si>
    <t xml:space="preserve">js/plan.js</t>
  </si>
  <si>
    <t xml:space="preserve">정리 대상을 고르고(북마크바 포함, 요즘 쓰는 북마크 제외) 폴더 계획을 세운다. 폴더를 못 만들면 고정 후보를, 새 북마크가 모이면 새 폴더를 제안한다 (계산만 함)</t>
  </si>
  <si>
    <t xml:space="preserve">폴더 계획, 고정 제안, 새 북마크 정리</t>
  </si>
  <si>
    <t xml:space="preserve">js/topic.js</t>
  </si>
  <si>
    <t xml:space="preserve">큰 폴더 안에서 반복되는 주제 단어를 찾아 세부 폴더를 제안한다</t>
  </si>
  <si>
    <t xml:space="preserve">js/render.js</t>
  </si>
  <si>
    <t xml:space="preserve">화면의 시작점. 북마크·저장소 알림을 받아 전체를 다시 그리고, 화면 파일(view/*)의 그리기 함수를 부른다. 헤더, 날짜, 화면 아래의 고정됨(독), 모든 북마크는 직접 그린다</t>
  </si>
  <si>
    <t xml:space="preserve">화면 배치, 앱 표시·열기</t>
  </si>
  <si>
    <t xml:space="preserve">newtab.html / newtab.css</t>
  </si>
  <si>
    <t xml:space="preserve">새 탭 화면의 뼈대와 모양</t>
  </si>
  <si>
    <t xml:space="preserve">#14</t>
  </si>
  <si>
    <t xml:space="preserve">js/search.js</t>
  </si>
  <si>
    <t xml:space="preserve">웹 검색창(위쪽. 주소 판별, 기본 검색엔진 호출)과 북마크 검색(모든 북마크 영역의 검색창). 두 검색창은 연동하지 않는다</t>
  </si>
  <si>
    <t xml:space="preserve">웹 검색, 북마크 검색</t>
  </si>
  <si>
    <t xml:space="preserve">js/dnd.js</t>
  </si>
  <si>
    <t xml:space="preserve">끌어서 폴더에 넣기와 순서 바꾸기 (SortableJS)</t>
  </si>
  <si>
    <t xml:space="preserve">js/view/cards.js</t>
  </si>
  <si>
    <t xml:space="preserve">첫 정리 카드, 고정 제안 카드, 자세히 보기와 [정리하기] 창, 고정할 북마크 고르기 창. 고정 제안의 권한 요청</t>
  </si>
  <si>
    <t xml:space="preserve">정리 카드, 고정 제안(권한 요청), 새 북마크 정리(창)</t>
  </si>
  <si>
    <t xml:space="preserve">js/view/folders.js</t>
  </si>
  <si>
    <t xml:space="preserve">내 폴더 줄, 폴더 팝업, 폴더 만들기·이름 바꾸기·삭제, 우클릭 메뉴</t>
  </si>
  <si>
    <t xml:space="preserve">앱 폴더, 우클릭 이동</t>
  </si>
  <si>
    <t xml:space="preserve">js/view/forgottenFolder.js</t>
  </si>
  <si>
    <t xml:space="preserve">잊고 있던 북마크 폴더와 팝업 (8개까지 표시)</t>
  </si>
  <si>
    <t xml:space="preserve">js/view/history.js</t>
  </si>
  <si>
    <t xml:space="preserve">정리 결과 안내([되돌리기])와 정리 기록 화면</t>
  </si>
  <si>
    <t xml:space="preserve">js/ui.js</t>
  </si>
  <si>
    <t xml:space="preserve">모든 화면 파일이 함께 쓰는 공통 화면 조각. 앱 아이콘(색 타일 위의 파비콘, 없으면 첫 글자), 짧은 안내 문구, 선 아이콘</t>
  </si>
  <si>
    <t xml:space="preserve">앱 표시·열기, 화면 배치</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</si>
</sst>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4"/>
      <name val="Noto Sans CJK SC"/>
      <family val="2"/>
      <charset val="1"/>
    </font>
    <font>
      <b val="true"/>
      <sz val="10"/>
      <name val="Noto Sans CJK SC"/>
      <family val="2"/>
      <charset val="1"/>
    </font>
    <font>
      <sz val="10"/>
      <name val="Noto Sans CJK SC"/>
      <family val="2"/>
      <charset val="1"/>
    </font>
    <font>
      <sz val="10"/>
      <name val="맑은 고딕"/>
      <family val="0"/>
      <charset val="1"/>
    </font>
    <font>
      <sz val="10"/>
      <name val="Noto Sans CJK SC"/>
      <family val="2"/>
    </font>
    <font>
      <b val="true"/>
      <sz val="10"/>
      <name val="맑은 고딕"/>
      <family val="0"/>
      <charset val="1"/>
    </font>
    <font>
      <b val="true"/>
      <sz val="10"/>
      <name val="Noto Sans CJK SC"/>
      <family val="2"/>
    </font>
    <font>
      <b val="true"/>
      <sz val="10"/>
      <color rgb="FFFFFFFF"/>
      <name val="Noto Sans CJK SC"/>
      <family val="2"/>
      <charset val="1"/>
    </font>
    <font>
      <b val="true"/>
      <sz val="11"/>
      <name val="Noto Sans CJK SC"/>
      <family val="2"/>
      <charset val="1"/>
    </font>
    <font>
      <b val="true"/>
      <sz val="10"/>
      <color rgb="FFFFFFFF"/>
      <name val="맑은 고딕"/>
      <family val="0"/>
      <charset val="1"/>
    </font>
    <font>
      <b val="true"/>
      <sz val="10"/>
      <color rgb="FFFFFFFF"/>
      <name val="Noto Sans CJK SC"/>
      <family val="2"/>
    </font>
  </fonts>
  <fills count="11">
    <fill>
      <patternFill patternType="none"/>
    </fill>
    <fill>
      <patternFill patternType="gray125"/>
    </fill>
    <fill>
      <patternFill patternType="solid">
        <fgColor rgb="FFDDE6F0"/>
        <bgColor rgb="FFDDEBF7"/>
      </patternFill>
    </fill>
    <fill>
      <patternFill patternType="solid">
        <fgColor rgb="FF1F3A5F"/>
        <bgColor rgb="FF333333"/>
      </patternFill>
    </fill>
    <fill>
      <patternFill patternType="solid">
        <fgColor rgb="FFDDEBF7"/>
        <bgColor rgb="FFDDE6F0"/>
      </patternFill>
    </fill>
    <fill>
      <patternFill patternType="solid">
        <fgColor rgb="FFEAF1DD"/>
        <bgColor rgb="FFE2EFDA"/>
      </patternFill>
    </fill>
    <fill>
      <patternFill patternType="solid">
        <fgColor rgb="FFFDE9D9"/>
        <bgColor rgb="FFFCE4D6"/>
      </patternFill>
    </fill>
    <fill>
      <patternFill patternType="solid">
        <fgColor rgb="FFE4DFEC"/>
        <bgColor rgb="FFDDE6F0"/>
      </patternFill>
    </fill>
    <fill>
      <patternFill patternType="solid">
        <fgColor rgb="FFFCE4D6"/>
        <bgColor rgb="FFFDE9D9"/>
      </patternFill>
    </fill>
    <fill>
      <patternFill patternType="solid">
        <fgColor rgb="FFFFF2CC"/>
        <bgColor rgb="FFFDE9D9"/>
      </patternFill>
    </fill>
    <fill>
      <patternFill patternType="solid">
        <fgColor rgb="FFE2EFDA"/>
        <bgColor rgb="FFEAF1D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5" fillId="2" borderId="1" xfId="0" applyFont="tru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5" fontId="9" fillId="2" borderId="1"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center" vertical="top" textRotation="0" wrapText="true" indent="0" shrinkToFit="false"/>
      <protection locked="true" hidden="false"/>
    </xf>
    <xf numFmtId="164" fontId="6" fillId="8" borderId="1" xfId="0" applyFont="true" applyBorder="true" applyAlignment="true" applyProtection="false">
      <alignment horizontal="center"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4DFEC"/>
          <bgColor rgb="FF000000"/>
        </patternFill>
      </fill>
    </dxf>
    <dxf>
      <fill>
        <patternFill patternType="solid">
          <fgColor rgb="FFEAF1DD"/>
          <bgColor rgb="FF000000"/>
        </patternFill>
      </fill>
    </dxf>
    <dxf>
      <fill>
        <patternFill patternType="solid">
          <fgColor rgb="FFFDE9D9"/>
          <bgColor rgb="FF000000"/>
        </patternFill>
      </fill>
    </dxf>
    <dxf>
      <fill>
        <patternFill patternType="solid">
          <fgColor rgb="FFFCE4D6"/>
          <bgColor rgb="FF000000"/>
        </patternFill>
      </fill>
    </dxf>
    <dxf>
      <fill>
        <patternFill patternType="solid">
          <fgColor rgb="FFE2EFDA"/>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DDE6F0"/>
      <rgbColor rgb="FFE2EFDA"/>
      <rgbColor rgb="FFFDE9D9"/>
      <rgbColor rgb="FFEAF1DD"/>
      <rgbColor rgb="FFFF99CC"/>
      <rgbColor rgb="FFCC99FF"/>
      <rgbColor rgb="FFFCE4D6"/>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40"/>
    <col collapsed="false" customWidth="true" hidden="false" outlineLevel="0" max="3" min="3" style="1" width="12"/>
    <col collapsed="false" customWidth="true" hidden="false" outlineLevel="0" max="4" min="4" style="1" width="44"/>
    <col collapsed="false" customWidth="true" hidden="false" outlineLevel="0" max="6" min="5" style="1" width="14"/>
    <col collapsed="false" customWidth="true" hidden="false" outlineLevel="0" max="7" min="7" style="1" width="16"/>
  </cols>
  <sheetData>
    <row r="1" customFormat="false" ht="21" hidden="false" customHeight="true" outlineLevel="0" collapsed="false">
      <c r="A1" s="2" t="s">
        <v>0</v>
      </c>
    </row>
    <row r="3" customFormat="false" ht="31.5" hidden="false" customHeight="true" outlineLevel="0" collapsed="false">
      <c r="A3" s="3" t="s">
        <v>1</v>
      </c>
      <c r="B3" s="4" t="s">
        <v>2</v>
      </c>
      <c r="C3" s="4"/>
      <c r="D3" s="4"/>
      <c r="E3" s="4"/>
      <c r="F3" s="4"/>
      <c r="G3" s="4"/>
    </row>
    <row r="4" customFormat="false" ht="72" hidden="false" customHeight="true" outlineLevel="0" collapsed="false">
      <c r="A4" s="3" t="s">
        <v>3</v>
      </c>
      <c r="B4" s="5" t="s">
        <v>4</v>
      </c>
      <c r="C4" s="5"/>
      <c r="D4" s="5"/>
      <c r="E4" s="5"/>
      <c r="F4" s="5"/>
      <c r="G4" s="5"/>
    </row>
    <row r="5" customFormat="false" ht="31.5" hidden="false" customHeight="true" outlineLevel="0" collapsed="false">
      <c r="A5" s="3" t="s">
        <v>5</v>
      </c>
      <c r="B5" s="4" t="s">
        <v>6</v>
      </c>
      <c r="C5" s="4"/>
      <c r="D5" s="4"/>
      <c r="E5" s="4"/>
      <c r="F5" s="4"/>
      <c r="G5" s="4"/>
    </row>
    <row r="6" customFormat="false" ht="31.5" hidden="false" customHeight="true" outlineLevel="0" collapsed="false">
      <c r="A6" s="3" t="s">
        <v>7</v>
      </c>
      <c r="B6" s="5" t="s">
        <v>8</v>
      </c>
      <c r="C6" s="5"/>
      <c r="D6" s="5"/>
      <c r="E6" s="5"/>
      <c r="F6" s="5"/>
      <c r="G6" s="5"/>
    </row>
    <row r="7" customFormat="false" ht="31.5" hidden="false" customHeight="true" outlineLevel="0" collapsed="false">
      <c r="A7" s="6" t="s">
        <v>9</v>
      </c>
      <c r="B7" s="4" t="s">
        <v>10</v>
      </c>
      <c r="C7" s="4"/>
      <c r="D7" s="4"/>
      <c r="E7" s="4"/>
      <c r="F7" s="4"/>
      <c r="G7" s="4"/>
    </row>
    <row r="8" customFormat="false" ht="18" hidden="false" customHeight="true" outlineLevel="0" collapsed="false">
      <c r="A8" s="3" t="s">
        <v>11</v>
      </c>
      <c r="B8" s="4" t="s">
        <v>12</v>
      </c>
      <c r="C8" s="4"/>
      <c r="D8" s="4"/>
      <c r="E8" s="4"/>
      <c r="F8" s="4"/>
      <c r="G8" s="4"/>
    </row>
    <row r="9" customFormat="false" ht="18" hidden="false" customHeight="true" outlineLevel="0" collapsed="false">
      <c r="A9" s="3" t="s">
        <v>13</v>
      </c>
      <c r="B9" s="4" t="s">
        <v>14</v>
      </c>
      <c r="C9" s="4"/>
      <c r="D9" s="4"/>
      <c r="E9" s="4"/>
      <c r="F9" s="4"/>
      <c r="G9" s="4"/>
    </row>
    <row r="10" customFormat="false" ht="31.5" hidden="false" customHeight="true" outlineLevel="0" collapsed="false">
      <c r="A10" s="3" t="s">
        <v>15</v>
      </c>
      <c r="B10" s="4" t="s">
        <v>16</v>
      </c>
      <c r="C10" s="4"/>
      <c r="D10" s="4"/>
      <c r="E10" s="4"/>
      <c r="F10" s="4"/>
      <c r="G10" s="4"/>
    </row>
    <row r="11" customFormat="false" ht="31.5" hidden="false" customHeight="true" outlineLevel="0" collapsed="false">
      <c r="A11" s="3" t="s">
        <v>17</v>
      </c>
      <c r="B11" s="4" t="s">
        <v>18</v>
      </c>
      <c r="C11" s="4"/>
      <c r="D11" s="4"/>
      <c r="E11" s="4"/>
      <c r="F11" s="4"/>
      <c r="G11" s="4"/>
    </row>
    <row r="12" customFormat="false" ht="29.25" hidden="false" customHeight="true" outlineLevel="0" collapsed="false">
      <c r="A12" s="3" t="s">
        <v>19</v>
      </c>
      <c r="B12" s="4" t="s">
        <v>20</v>
      </c>
      <c r="C12" s="4"/>
      <c r="D12" s="4"/>
      <c r="E12" s="4"/>
      <c r="F12" s="4"/>
      <c r="G12" s="4"/>
    </row>
    <row r="14" customFormat="false" ht="15" hidden="false" customHeight="true" outlineLevel="0" collapsed="false">
      <c r="A14" s="7" t="s">
        <v>21</v>
      </c>
      <c r="B14" s="7" t="s">
        <v>22</v>
      </c>
      <c r="C14" s="7" t="s">
        <v>19</v>
      </c>
      <c r="D14" s="7" t="s">
        <v>23</v>
      </c>
      <c r="E14" s="7" t="s">
        <v>24</v>
      </c>
      <c r="F14" s="7" t="s">
        <v>25</v>
      </c>
      <c r="G14" s="7" t="s">
        <v>26</v>
      </c>
    </row>
    <row r="15" customFormat="false" ht="15" hidden="false" customHeight="true" outlineLevel="0" collapsed="false">
      <c r="A15" s="8" t="s">
        <v>27</v>
      </c>
      <c r="B15" s="4" t="s">
        <v>28</v>
      </c>
      <c r="C15" s="8" t="s">
        <v>29</v>
      </c>
      <c r="D15" s="8" t="s">
        <v>30</v>
      </c>
      <c r="E15" s="8" t="n">
        <f aca="false">COUNTIF('기능 명세'!$D:$D,A15)</f>
        <v>7</v>
      </c>
      <c r="F15" s="8" t="n">
        <f aca="false">COUNTIFS('기능 명세'!$D:$D,A15,'기능 명세'!$H:$H,"예외")</f>
        <v>3</v>
      </c>
      <c r="G15" s="8" t="n">
        <f aca="false">COUNTIFS('기능 명세'!$D:$D,A15,'기능 명세'!$N:$N,"제안*")+COUNTIFS('기능 명세'!$D:$D,A15,'기능 명세'!$N:$N,"확인 필요*")</f>
        <v>3</v>
      </c>
    </row>
    <row r="16" customFormat="false" ht="15" hidden="false" customHeight="true" outlineLevel="0" collapsed="false">
      <c r="A16" s="8" t="s">
        <v>31</v>
      </c>
      <c r="B16" s="4" t="s">
        <v>32</v>
      </c>
      <c r="C16" s="8" t="s">
        <v>29</v>
      </c>
      <c r="D16" s="8" t="s">
        <v>30</v>
      </c>
      <c r="E16" s="8" t="n">
        <f aca="false">COUNTIF('기능 명세'!$D:$D,A16)</f>
        <v>5</v>
      </c>
      <c r="F16" s="8" t="n">
        <f aca="false">COUNTIFS('기능 명세'!$D:$D,A16,'기능 명세'!$H:$H,"예외")</f>
        <v>3</v>
      </c>
      <c r="G16" s="8" t="n">
        <f aca="false">COUNTIFS('기능 명세'!$D:$D,A16,'기능 명세'!$N:$N,"제안*")+COUNTIFS('기능 명세'!$D:$D,A16,'기능 명세'!$N:$N,"확인 필요*")</f>
        <v>2</v>
      </c>
    </row>
    <row r="17" customFormat="false" ht="15" hidden="false" customHeight="true" outlineLevel="0" collapsed="false">
      <c r="A17" s="8" t="s">
        <v>33</v>
      </c>
      <c r="B17" s="4" t="s">
        <v>34</v>
      </c>
      <c r="C17" s="8" t="s">
        <v>35</v>
      </c>
      <c r="D17" s="8" t="s">
        <v>36</v>
      </c>
      <c r="E17" s="8" t="n">
        <f aca="false">COUNTIF('기능 명세'!$D:$D,A17)</f>
        <v>8</v>
      </c>
      <c r="F17" s="8" t="n">
        <f aca="false">COUNTIFS('기능 명세'!$D:$D,A17,'기능 명세'!$H:$H,"예외")</f>
        <v>2</v>
      </c>
      <c r="G17" s="8" t="n">
        <f aca="false">COUNTIFS('기능 명세'!$D:$D,A17,'기능 명세'!$N:$N,"제안*")+COUNTIFS('기능 명세'!$D:$D,A17,'기능 명세'!$N:$N,"확인 필요*")</f>
        <v>3</v>
      </c>
    </row>
    <row r="18" customFormat="false" ht="15" hidden="false" customHeight="true" outlineLevel="0" collapsed="false">
      <c r="A18" s="8" t="s">
        <v>37</v>
      </c>
      <c r="B18" s="4" t="s">
        <v>38</v>
      </c>
      <c r="C18" s="8" t="s">
        <v>35</v>
      </c>
      <c r="D18" s="8" t="s">
        <v>36</v>
      </c>
      <c r="E18" s="8" t="n">
        <f aca="false">COUNTIF('기능 명세'!$D:$D,A18)</f>
        <v>12</v>
      </c>
      <c r="F18" s="8" t="n">
        <f aca="false">COUNTIFS('기능 명세'!$D:$D,A18,'기능 명세'!$H:$H,"예외")</f>
        <v>2</v>
      </c>
      <c r="G18" s="8" t="n">
        <f aca="false">COUNTIFS('기능 명세'!$D:$D,A18,'기능 명세'!$N:$N,"제안*")+COUNTIFS('기능 명세'!$D:$D,A18,'기능 명세'!$N:$N,"확인 필요*")</f>
        <v>0</v>
      </c>
    </row>
    <row r="19" customFormat="false" ht="15" hidden="false" customHeight="true" outlineLevel="0" collapsed="false">
      <c r="A19" s="8" t="s">
        <v>39</v>
      </c>
      <c r="B19" s="4" t="s">
        <v>40</v>
      </c>
      <c r="C19" s="8" t="s">
        <v>29</v>
      </c>
      <c r="D19" s="8" t="s">
        <v>30</v>
      </c>
      <c r="E19" s="8" t="n">
        <f aca="false">COUNTIF('기능 명세'!$D:$D,A19)</f>
        <v>9</v>
      </c>
      <c r="F19" s="8" t="n">
        <f aca="false">COUNTIFS('기능 명세'!$D:$D,A19,'기능 명세'!$H:$H,"예외")</f>
        <v>2</v>
      </c>
      <c r="G19" s="8" t="n">
        <f aca="false">COUNTIFS('기능 명세'!$D:$D,A19,'기능 명세'!$N:$N,"제안*")+COUNTIFS('기능 명세'!$D:$D,A19,'기능 명세'!$N:$N,"확인 필요*")</f>
        <v>1</v>
      </c>
    </row>
    <row r="20" customFormat="false" ht="15" hidden="false" customHeight="true" outlineLevel="0" collapsed="false">
      <c r="A20" s="8" t="s">
        <v>41</v>
      </c>
      <c r="B20" s="4" t="s">
        <v>42</v>
      </c>
      <c r="C20" s="8" t="s">
        <v>35</v>
      </c>
      <c r="D20" s="8" t="s">
        <v>36</v>
      </c>
      <c r="E20" s="8" t="n">
        <f aca="false">COUNTIF('기능 명세'!$D:$D,A20)</f>
        <v>7</v>
      </c>
      <c r="F20" s="8" t="n">
        <f aca="false">COUNTIFS('기능 명세'!$D:$D,A20,'기능 명세'!$H:$H,"예외")</f>
        <v>1</v>
      </c>
      <c r="G20" s="8" t="n">
        <f aca="false">COUNTIFS('기능 명세'!$D:$D,A20,'기능 명세'!$N:$N,"제안*")+COUNTIFS('기능 명세'!$D:$D,A20,'기능 명세'!$N:$N,"확인 필요*")</f>
        <v>0</v>
      </c>
    </row>
    <row r="21" customFormat="false" ht="15" hidden="false" customHeight="true" outlineLevel="0" collapsed="false">
      <c r="A21" s="8" t="s">
        <v>43</v>
      </c>
      <c r="B21" s="4" t="s">
        <v>44</v>
      </c>
      <c r="C21" s="8" t="s">
        <v>35</v>
      </c>
      <c r="D21" s="8" t="s">
        <v>36</v>
      </c>
      <c r="E21" s="8" t="n">
        <f aca="false">COUNTIF('기능 명세'!$D:$D,A21)</f>
        <v>9</v>
      </c>
      <c r="F21" s="8" t="n">
        <f aca="false">COUNTIFS('기능 명세'!$D:$D,A21,'기능 명세'!$H:$H,"예외")</f>
        <v>2</v>
      </c>
      <c r="G21" s="8" t="n">
        <f aca="false">COUNTIFS('기능 명세'!$D:$D,A21,'기능 명세'!$N:$N,"제안*")+COUNTIFS('기능 명세'!$D:$D,A21,'기능 명세'!$N:$N,"확인 필요*")</f>
        <v>1</v>
      </c>
    </row>
    <row r="22" customFormat="false" ht="15" hidden="false" customHeight="true" outlineLevel="0" collapsed="false">
      <c r="A22" s="8" t="s">
        <v>45</v>
      </c>
      <c r="B22" s="4" t="s">
        <v>46</v>
      </c>
      <c r="C22" s="8" t="s">
        <v>47</v>
      </c>
      <c r="D22" s="8" t="s">
        <v>48</v>
      </c>
      <c r="E22" s="8" t="n">
        <f aca="false">COUNTIF('기능 명세'!$D:$D,A22)</f>
        <v>6</v>
      </c>
      <c r="F22" s="8" t="n">
        <f aca="false">COUNTIFS('기능 명세'!$D:$D,A22,'기능 명세'!$H:$H,"예외")</f>
        <v>2</v>
      </c>
      <c r="G22" s="8" t="n">
        <f aca="false">COUNTIFS('기능 명세'!$D:$D,A22,'기능 명세'!$N:$N,"제안*")+COUNTIFS('기능 명세'!$D:$D,A22,'기능 명세'!$N:$N,"확인 필요*")</f>
        <v>0</v>
      </c>
    </row>
    <row r="23" customFormat="false" ht="15" hidden="false" customHeight="true" outlineLevel="0" collapsed="false">
      <c r="A23" s="8" t="s">
        <v>49</v>
      </c>
      <c r="B23" s="4" t="s">
        <v>50</v>
      </c>
      <c r="C23" s="8" t="s">
        <v>47</v>
      </c>
      <c r="D23" s="8" t="s">
        <v>48</v>
      </c>
      <c r="E23" s="8" t="n">
        <f aca="false">COUNTIF('기능 명세'!$D:$D,A23)</f>
        <v>9</v>
      </c>
      <c r="F23" s="8" t="n">
        <f aca="false">COUNTIFS('기능 명세'!$D:$D,A23,'기능 명세'!$H:$H,"예외")</f>
        <v>2</v>
      </c>
      <c r="G23" s="8" t="n">
        <f aca="false">COUNTIFS('기능 명세'!$D:$D,A23,'기능 명세'!$N:$N,"제안*")+COUNTIFS('기능 명세'!$D:$D,A23,'기능 명세'!$N:$N,"확인 필요*")</f>
        <v>3</v>
      </c>
    </row>
    <row r="24" customFormat="false" ht="15" hidden="false" customHeight="true" outlineLevel="0" collapsed="false">
      <c r="A24" s="8" t="s">
        <v>51</v>
      </c>
      <c r="B24" s="4" t="s">
        <v>52</v>
      </c>
      <c r="C24" s="8" t="s">
        <v>47</v>
      </c>
      <c r="D24" s="8" t="s">
        <v>48</v>
      </c>
      <c r="E24" s="8" t="n">
        <f aca="false">COUNTIF('기능 명세'!$D:$D,A24)</f>
        <v>9</v>
      </c>
      <c r="F24" s="8" t="n">
        <f aca="false">COUNTIFS('기능 명세'!$D:$D,A24,'기능 명세'!$H:$H,"예외")</f>
        <v>2</v>
      </c>
      <c r="G24" s="8" t="n">
        <f aca="false">COUNTIFS('기능 명세'!$D:$D,A24,'기능 명세'!$N:$N,"제안*")+COUNTIFS('기능 명세'!$D:$D,A24,'기능 명세'!$N:$N,"확인 필요*")</f>
        <v>1</v>
      </c>
    </row>
    <row r="25" customFormat="false" ht="15" hidden="false" customHeight="true" outlineLevel="0" collapsed="false">
      <c r="A25" s="8" t="s">
        <v>53</v>
      </c>
      <c r="B25" s="4" t="s">
        <v>54</v>
      </c>
      <c r="C25" s="8" t="s">
        <v>29</v>
      </c>
      <c r="D25" s="8" t="s">
        <v>30</v>
      </c>
      <c r="E25" s="8" t="n">
        <f aca="false">COUNTIF('기능 명세'!$D:$D,A25)</f>
        <v>5</v>
      </c>
      <c r="F25" s="8" t="n">
        <f aca="false">COUNTIFS('기능 명세'!$D:$D,A25,'기능 명세'!$H:$H,"예외")</f>
        <v>1</v>
      </c>
      <c r="G25" s="8" t="n">
        <f aca="false">COUNTIFS('기능 명세'!$D:$D,A25,'기능 명세'!$N:$N,"제안*")+COUNTIFS('기능 명세'!$D:$D,A25,'기능 명세'!$N:$N,"확인 필요*")</f>
        <v>1</v>
      </c>
    </row>
    <row r="26" customFormat="false" ht="15" hidden="false" customHeight="true" outlineLevel="0" collapsed="false">
      <c r="A26" s="8" t="s">
        <v>55</v>
      </c>
      <c r="B26" s="4" t="s">
        <v>56</v>
      </c>
      <c r="C26" s="8" t="s">
        <v>29</v>
      </c>
      <c r="D26" s="8" t="s">
        <v>30</v>
      </c>
      <c r="E26" s="8" t="n">
        <f aca="false">COUNTIF('기능 명세'!$D:$D,A26)</f>
        <v>4</v>
      </c>
      <c r="F26" s="8" t="n">
        <f aca="false">COUNTIFS('기능 명세'!$D:$D,A26,'기능 명세'!$H:$H,"예외")</f>
        <v>0</v>
      </c>
      <c r="G26" s="8" t="n">
        <f aca="false">COUNTIFS('기능 명세'!$D:$D,A26,'기능 명세'!$N:$N,"제안*")+COUNTIFS('기능 명세'!$D:$D,A26,'기능 명세'!$N:$N,"확인 필요*")</f>
        <v>1</v>
      </c>
    </row>
    <row r="27" customFormat="false" ht="15" hidden="false" customHeight="true" outlineLevel="0" collapsed="false">
      <c r="A27" s="8" t="s">
        <v>57</v>
      </c>
      <c r="B27" s="4" t="s">
        <v>58</v>
      </c>
      <c r="C27" s="8" t="s">
        <v>35</v>
      </c>
      <c r="D27" s="8" t="s">
        <v>36</v>
      </c>
      <c r="E27" s="8" t="n">
        <f aca="false">COUNTIF('기능 명세'!$D:$D,A27)</f>
        <v>10</v>
      </c>
      <c r="F27" s="8" t="n">
        <f aca="false">COUNTIFS('기능 명세'!$D:$D,A27,'기능 명세'!$H:$H,"예외")</f>
        <v>6</v>
      </c>
      <c r="G27" s="8" t="n">
        <f aca="false">COUNTIFS('기능 명세'!$D:$D,A27,'기능 명세'!$N:$N,"제안*")+COUNTIFS('기능 명세'!$D:$D,A27,'기능 명세'!$N:$N,"확인 필요*")</f>
        <v>2</v>
      </c>
    </row>
    <row r="28" customFormat="false" ht="15" hidden="false" customHeight="true" outlineLevel="0" collapsed="false">
      <c r="A28" s="8" t="s">
        <v>59</v>
      </c>
      <c r="B28" s="4" t="s">
        <v>60</v>
      </c>
      <c r="C28" s="8" t="s">
        <v>47</v>
      </c>
      <c r="D28" s="8" t="s">
        <v>48</v>
      </c>
      <c r="E28" s="8" t="n">
        <f aca="false">COUNTIF('기능 명세'!$D:$D,A28)</f>
        <v>6</v>
      </c>
      <c r="F28" s="8" t="n">
        <f aca="false">COUNTIFS('기능 명세'!$D:$D,A28,'기능 명세'!$H:$H,"예외")</f>
        <v>2</v>
      </c>
      <c r="G28" s="8" t="n">
        <f aca="false">COUNTIFS('기능 명세'!$D:$D,A28,'기능 명세'!$N:$N,"제안*")+COUNTIFS('기능 명세'!$D:$D,A28,'기능 명세'!$N:$N,"확인 필요*")</f>
        <v>2</v>
      </c>
    </row>
    <row r="29" customFormat="false" ht="15" hidden="false" customHeight="true" outlineLevel="0" collapsed="false">
      <c r="A29" s="8" t="s">
        <v>61</v>
      </c>
      <c r="B29" s="4" t="s">
        <v>62</v>
      </c>
      <c r="C29" s="8" t="s">
        <v>47</v>
      </c>
      <c r="D29" s="8" t="s">
        <v>48</v>
      </c>
      <c r="E29" s="8" t="n">
        <f aca="false">COUNTIF('기능 명세'!$D:$D,A29)</f>
        <v>5</v>
      </c>
      <c r="F29" s="8" t="n">
        <f aca="false">COUNTIFS('기능 명세'!$D:$D,A29,'기능 명세'!$H:$H,"예외")</f>
        <v>2</v>
      </c>
      <c r="G29" s="8" t="n">
        <f aca="false">COUNTIFS('기능 명세'!$D:$D,A29,'기능 명세'!$N:$N,"제안*")+COUNTIFS('기능 명세'!$D:$D,A29,'기능 명세'!$N:$N,"확인 필요*")</f>
        <v>2</v>
      </c>
    </row>
    <row r="30" customFormat="false" ht="15" hidden="false" customHeight="true" outlineLevel="0" collapsed="false">
      <c r="A30" s="8" t="s">
        <v>63</v>
      </c>
      <c r="B30" s="4" t="s">
        <v>64</v>
      </c>
      <c r="C30" s="8" t="s">
        <v>65</v>
      </c>
      <c r="D30" s="8" t="s">
        <v>66</v>
      </c>
      <c r="E30" s="8" t="n">
        <f aca="false">COUNTIF('기능 명세'!$D:$D,A30)</f>
        <v>3</v>
      </c>
      <c r="F30" s="8" t="n">
        <f aca="false">COUNTIFS('기능 명세'!$D:$D,A30,'기능 명세'!$H:$H,"예외")</f>
        <v>1</v>
      </c>
      <c r="G30" s="8" t="n">
        <f aca="false">COUNTIFS('기능 명세'!$D:$D,A30,'기능 명세'!$N:$N,"제안*")+COUNTIFS('기능 명세'!$D:$D,A30,'기능 명세'!$N:$N,"확인 필요*")</f>
        <v>0</v>
      </c>
    </row>
    <row r="31" customFormat="false" ht="15" hidden="false" customHeight="true" outlineLevel="0" collapsed="false">
      <c r="A31" s="8" t="s">
        <v>67</v>
      </c>
      <c r="B31" s="4" t="s">
        <v>68</v>
      </c>
      <c r="C31" s="8" t="s">
        <v>65</v>
      </c>
      <c r="D31" s="8" t="s">
        <v>66</v>
      </c>
      <c r="E31" s="8" t="n">
        <f aca="false">COUNTIF('기능 명세'!$D:$D,A31)</f>
        <v>3</v>
      </c>
      <c r="F31" s="8" t="n">
        <f aca="false">COUNTIFS('기능 명세'!$D:$D,A31,'기능 명세'!$H:$H,"예외")</f>
        <v>1</v>
      </c>
      <c r="G31" s="8" t="n">
        <f aca="false">COUNTIFS('기능 명세'!$D:$D,A31,'기능 명세'!$N:$N,"제안*")+COUNTIFS('기능 명세'!$D:$D,A31,'기능 명세'!$N:$N,"확인 필요*")</f>
        <v>0</v>
      </c>
    </row>
    <row r="32" customFormat="false" ht="15" hidden="false" customHeight="true" outlineLevel="0" collapsed="false">
      <c r="A32" s="9" t="s">
        <v>69</v>
      </c>
      <c r="B32" s="10"/>
      <c r="C32" s="10"/>
      <c r="D32" s="10"/>
      <c r="E32" s="11" t="n">
        <f aca="false">SUM(E15:E31)</f>
        <v>117</v>
      </c>
      <c r="F32" s="11" t="n">
        <f aca="false">SUM(F15:F31)</f>
        <v>34</v>
      </c>
      <c r="G32" s="11" t="n">
        <f aca="false">SUM(G15:G31)</f>
        <v>22</v>
      </c>
    </row>
    <row r="34" customFormat="false" ht="16.5" hidden="false" customHeight="true" outlineLevel="0" collapsed="false">
      <c r="A34" s="12" t="s">
        <v>70</v>
      </c>
    </row>
    <row r="35" customFormat="false" ht="15" hidden="false" customHeight="true" outlineLevel="0" collapsed="false">
      <c r="A35" s="7" t="s">
        <v>71</v>
      </c>
      <c r="B35" s="7" t="s">
        <v>72</v>
      </c>
      <c r="C35" s="7" t="s">
        <v>73</v>
      </c>
      <c r="D35" s="7" t="s">
        <v>74</v>
      </c>
      <c r="E35" s="7" t="s">
        <v>24</v>
      </c>
      <c r="F35" s="7" t="s">
        <v>75</v>
      </c>
      <c r="G35" s="7" t="s">
        <v>76</v>
      </c>
      <c r="H35" s="7"/>
    </row>
    <row r="36" customFormat="false" ht="15" hidden="false" customHeight="true" outlineLevel="0" collapsed="false">
      <c r="A36" s="13" t="s">
        <v>77</v>
      </c>
      <c r="B36" s="4" t="s">
        <v>78</v>
      </c>
      <c r="C36" s="14" t="s">
        <v>79</v>
      </c>
      <c r="D36" s="5" t="s">
        <v>80</v>
      </c>
      <c r="E36" s="13" t="n">
        <f aca="false">COUNTIF('기능 명세'!$A:$A,A36)</f>
        <v>0</v>
      </c>
      <c r="F36" s="13" t="n">
        <f aca="false">COUNTIF('API_내부 함수'!$A:$A,A36)</f>
        <v>0</v>
      </c>
      <c r="G36" s="13" t="n">
        <f aca="false">COUNTIF(API_크롬!$A:$A,A36)</f>
        <v>3</v>
      </c>
      <c r="H36" s="13"/>
    </row>
    <row r="37" customFormat="false" ht="15" hidden="false" customHeight="true" outlineLevel="0" collapsed="false">
      <c r="A37" s="13" t="s">
        <v>81</v>
      </c>
      <c r="B37" s="4" t="s">
        <v>82</v>
      </c>
      <c r="C37" s="14" t="s">
        <v>79</v>
      </c>
      <c r="D37" s="5" t="s">
        <v>83</v>
      </c>
      <c r="E37" s="13" t="n">
        <f aca="false">COUNTIF('기능 명세'!$A:$A,A37)</f>
        <v>6</v>
      </c>
      <c r="F37" s="13" t="n">
        <f aca="false">COUNTIF('API_내부 함수'!$A:$A,A37)</f>
        <v>1</v>
      </c>
      <c r="G37" s="13" t="n">
        <f aca="false">COUNTIF(API_크롬!$A:$A,A37)</f>
        <v>4</v>
      </c>
      <c r="H37" s="13"/>
    </row>
    <row r="38" customFormat="false" ht="29.25" hidden="false" customHeight="true" outlineLevel="0" collapsed="false">
      <c r="A38" s="13" t="s">
        <v>84</v>
      </c>
      <c r="B38" s="4" t="s">
        <v>85</v>
      </c>
      <c r="C38" s="14" t="s">
        <v>79</v>
      </c>
      <c r="D38" s="5" t="s">
        <v>86</v>
      </c>
      <c r="E38" s="13" t="n">
        <f aca="false">COUNTIF('기능 명세'!$A:$A,A38)</f>
        <v>1</v>
      </c>
      <c r="F38" s="13" t="n">
        <f aca="false">COUNTIF('API_내부 함수'!$A:$A,A38)</f>
        <v>4</v>
      </c>
      <c r="G38" s="13" t="n">
        <f aca="false">COUNTIF(API_크롬!$A:$A,A38)</f>
        <v>3</v>
      </c>
      <c r="H38" s="13"/>
    </row>
    <row r="39" customFormat="false" ht="15" hidden="false" customHeight="true" outlineLevel="0" collapsed="false">
      <c r="A39" s="13" t="s">
        <v>87</v>
      </c>
      <c r="B39" s="4" t="s">
        <v>88</v>
      </c>
      <c r="C39" s="15" t="s">
        <v>89</v>
      </c>
      <c r="D39" s="5" t="s">
        <v>90</v>
      </c>
      <c r="E39" s="13" t="n">
        <f aca="false">COUNTIF('기능 명세'!$A:$A,A39)</f>
        <v>5</v>
      </c>
      <c r="F39" s="13" t="n">
        <f aca="false">COUNTIF('API_내부 함수'!$A:$A,A39)</f>
        <v>3</v>
      </c>
      <c r="G39" s="13" t="n">
        <f aca="false">COUNTIF(API_크롬!$A:$A,A39)</f>
        <v>2</v>
      </c>
      <c r="H39" s="13"/>
    </row>
    <row r="40" customFormat="false" ht="15" hidden="false" customHeight="true" outlineLevel="0" collapsed="false">
      <c r="A40" s="13" t="s">
        <v>34</v>
      </c>
      <c r="B40" s="4" t="s">
        <v>91</v>
      </c>
      <c r="C40" s="16" t="s">
        <v>92</v>
      </c>
      <c r="D40" s="5" t="s">
        <v>93</v>
      </c>
      <c r="E40" s="13" t="n">
        <f aca="false">COUNTIF('기능 명세'!$A:$A,A40)</f>
        <v>8</v>
      </c>
      <c r="F40" s="13" t="n">
        <f aca="false">COUNTIF('API_내부 함수'!$A:$A,A40)</f>
        <v>4</v>
      </c>
      <c r="G40" s="13" t="n">
        <f aca="false">COUNTIF(API_크롬!$A:$A,A40)</f>
        <v>3</v>
      </c>
      <c r="H40" s="13"/>
    </row>
    <row r="41" customFormat="false" ht="29.25" hidden="false" customHeight="true" outlineLevel="0" collapsed="false">
      <c r="A41" s="13" t="s">
        <v>94</v>
      </c>
      <c r="B41" s="4" t="s">
        <v>95</v>
      </c>
      <c r="C41" s="17" t="s">
        <v>96</v>
      </c>
      <c r="D41" s="5" t="s">
        <v>97</v>
      </c>
      <c r="E41" s="13" t="n">
        <f aca="false">COUNTIF('기능 명세'!$A:$A,A41)</f>
        <v>4</v>
      </c>
      <c r="F41" s="13" t="n">
        <f aca="false">COUNTIF('API_내부 함수'!$A:$A,A41)</f>
        <v>2</v>
      </c>
      <c r="G41" s="13" t="n">
        <f aca="false">COUNTIF(API_크롬!$A:$A,A41)</f>
        <v>0</v>
      </c>
      <c r="H41" s="13"/>
    </row>
    <row r="42" customFormat="false" ht="29.25" hidden="false" customHeight="true" outlineLevel="0" collapsed="false">
      <c r="A42" s="13" t="s">
        <v>98</v>
      </c>
      <c r="B42" s="4" t="s">
        <v>99</v>
      </c>
      <c r="C42" s="16" t="s">
        <v>92</v>
      </c>
      <c r="D42" s="5" t="s">
        <v>100</v>
      </c>
      <c r="E42" s="13" t="n">
        <f aca="false">COUNTIF('기능 명세'!$A:$A,A42)</f>
        <v>5</v>
      </c>
      <c r="F42" s="13" t="n">
        <f aca="false">COUNTIF('API_내부 함수'!$A:$A,A42)</f>
        <v>2</v>
      </c>
      <c r="G42" s="13" t="n">
        <f aca="false">COUNTIF(API_크롬!$A:$A,A42)</f>
        <v>0</v>
      </c>
      <c r="H42" s="13"/>
    </row>
    <row r="43" customFormat="false" ht="15" hidden="false" customHeight="true" outlineLevel="0" collapsed="false">
      <c r="A43" s="13" t="s">
        <v>101</v>
      </c>
      <c r="B43" s="4" t="s">
        <v>102</v>
      </c>
      <c r="C43" s="15" t="s">
        <v>89</v>
      </c>
      <c r="D43" s="5" t="s">
        <v>103</v>
      </c>
      <c r="E43" s="13" t="n">
        <f aca="false">COUNTIF('기능 명세'!$A:$A,A43)</f>
        <v>7</v>
      </c>
      <c r="F43" s="13" t="n">
        <f aca="false">COUNTIF('API_내부 함수'!$A:$A,A43)</f>
        <v>2</v>
      </c>
      <c r="G43" s="13" t="n">
        <f aca="false">COUNTIF(API_크롬!$A:$A,A43)</f>
        <v>0</v>
      </c>
      <c r="H43" s="13"/>
    </row>
    <row r="44" customFormat="false" ht="15" hidden="false" customHeight="true" outlineLevel="0" collapsed="false">
      <c r="A44" s="13" t="s">
        <v>104</v>
      </c>
      <c r="B44" s="4" t="s">
        <v>105</v>
      </c>
      <c r="C44" s="14" t="s">
        <v>79</v>
      </c>
      <c r="D44" s="5" t="s">
        <v>106</v>
      </c>
      <c r="E44" s="13" t="n">
        <f aca="false">COUNTIF('기능 명세'!$A:$A,A44)</f>
        <v>6</v>
      </c>
      <c r="F44" s="13" t="n">
        <f aca="false">COUNTIF('API_내부 함수'!$A:$A,A44)</f>
        <v>2</v>
      </c>
      <c r="G44" s="13" t="n">
        <f aca="false">COUNTIF(API_크롬!$A:$A,A44)</f>
        <v>1</v>
      </c>
      <c r="H44" s="13"/>
    </row>
    <row r="45" customFormat="false" ht="29.25" hidden="false" customHeight="true" outlineLevel="0" collapsed="false">
      <c r="A45" s="13" t="s">
        <v>107</v>
      </c>
      <c r="B45" s="4" t="s">
        <v>108</v>
      </c>
      <c r="C45" s="17" t="s">
        <v>96</v>
      </c>
      <c r="D45" s="5" t="s">
        <v>86</v>
      </c>
      <c r="E45" s="13" t="n">
        <f aca="false">COUNTIF('기능 명세'!$A:$A,A45)</f>
        <v>3</v>
      </c>
      <c r="F45" s="13" t="n">
        <f aca="false">COUNTIF('API_내부 함수'!$A:$A,A45)</f>
        <v>3</v>
      </c>
      <c r="G45" s="13" t="n">
        <f aca="false">COUNTIF(API_크롬!$A:$A,A45)</f>
        <v>1</v>
      </c>
      <c r="H45" s="13"/>
    </row>
    <row r="46" customFormat="false" ht="15" hidden="false" customHeight="true" outlineLevel="0" collapsed="false">
      <c r="A46" s="13" t="s">
        <v>109</v>
      </c>
      <c r="B46" s="4" t="s">
        <v>110</v>
      </c>
      <c r="C46" s="14" t="s">
        <v>79</v>
      </c>
      <c r="D46" s="5" t="s">
        <v>111</v>
      </c>
      <c r="E46" s="13" t="n">
        <f aca="false">COUNTIF('기능 명세'!$A:$A,A46)</f>
        <v>10</v>
      </c>
      <c r="F46" s="13" t="n">
        <f aca="false">COUNTIF('API_내부 함수'!$A:$A,A46)</f>
        <v>3</v>
      </c>
      <c r="G46" s="13" t="n">
        <f aca="false">COUNTIF(API_크롬!$A:$A,A46)</f>
        <v>0</v>
      </c>
      <c r="H46" s="13"/>
    </row>
    <row r="47" customFormat="false" ht="15" hidden="false" customHeight="true" outlineLevel="0" collapsed="false">
      <c r="A47" s="13" t="s">
        <v>112</v>
      </c>
      <c r="B47" s="4" t="s">
        <v>113</v>
      </c>
      <c r="C47" s="17" t="s">
        <v>96</v>
      </c>
      <c r="D47" s="5" t="s">
        <v>114</v>
      </c>
      <c r="E47" s="13" t="n">
        <f aca="false">COUNTIF('기능 명세'!$A:$A,A47)</f>
        <v>9</v>
      </c>
      <c r="F47" s="13" t="n">
        <f aca="false">COUNTIF('API_내부 함수'!$A:$A,A47)</f>
        <v>5</v>
      </c>
      <c r="G47" s="13" t="n">
        <f aca="false">COUNTIF(API_크롬!$A:$A,A47)</f>
        <v>1</v>
      </c>
      <c r="H47" s="13"/>
    </row>
    <row r="48" customFormat="false" ht="29.25" hidden="false" customHeight="true" outlineLevel="0" collapsed="false">
      <c r="A48" s="13" t="s">
        <v>115</v>
      </c>
      <c r="B48" s="4" t="s">
        <v>116</v>
      </c>
      <c r="C48" s="17" t="s">
        <v>96</v>
      </c>
      <c r="D48" s="5" t="s">
        <v>117</v>
      </c>
      <c r="E48" s="13" t="n">
        <f aca="false">COUNTIF('기능 명세'!$A:$A,A48)</f>
        <v>12</v>
      </c>
      <c r="F48" s="13" t="n">
        <f aca="false">COUNTIF('API_내부 함수'!$A:$A,A48)</f>
        <v>5</v>
      </c>
      <c r="G48" s="13" t="n">
        <f aca="false">COUNTIF(API_크롬!$A:$A,A48)</f>
        <v>0</v>
      </c>
      <c r="H48" s="13"/>
    </row>
    <row r="49" customFormat="false" ht="15" hidden="false" customHeight="true" outlineLevel="0" collapsed="false">
      <c r="A49" s="13" t="s">
        <v>118</v>
      </c>
      <c r="B49" s="4" t="s">
        <v>119</v>
      </c>
      <c r="C49" s="14" t="s">
        <v>79</v>
      </c>
      <c r="D49" s="5" t="s">
        <v>120</v>
      </c>
      <c r="E49" s="13" t="n">
        <f aca="false">COUNTIF('기능 명세'!$A:$A,A49)</f>
        <v>6</v>
      </c>
      <c r="F49" s="13" t="n">
        <f aca="false">COUNTIF('API_내부 함수'!$A:$A,A49)</f>
        <v>1</v>
      </c>
      <c r="G49" s="13" t="n">
        <f aca="false">COUNTIF(API_크롬!$A:$A,A49)</f>
        <v>0</v>
      </c>
      <c r="H49" s="13"/>
    </row>
    <row r="50" customFormat="false" ht="15" hidden="false" customHeight="true" outlineLevel="0" collapsed="false">
      <c r="A50" s="13" t="s">
        <v>121</v>
      </c>
      <c r="B50" s="4" t="s">
        <v>122</v>
      </c>
      <c r="C50" s="16" t="s">
        <v>92</v>
      </c>
      <c r="D50" s="5" t="s">
        <v>123</v>
      </c>
      <c r="E50" s="13" t="n">
        <f aca="false">COUNTIF('기능 명세'!$A:$A,A50)</f>
        <v>9</v>
      </c>
      <c r="F50" s="13" t="n">
        <f aca="false">COUNTIF('API_내부 함수'!$A:$A,A50)</f>
        <v>1</v>
      </c>
      <c r="G50" s="13" t="n">
        <f aca="false">COUNTIF(API_크롬!$A:$A,A50)</f>
        <v>3</v>
      </c>
      <c r="H50" s="13"/>
    </row>
    <row r="51" customFormat="false" ht="15" hidden="false" customHeight="true" outlineLevel="0" collapsed="false">
      <c r="A51" s="13" t="s">
        <v>124</v>
      </c>
      <c r="B51" s="4" t="s">
        <v>125</v>
      </c>
      <c r="C51" s="15" t="s">
        <v>89</v>
      </c>
      <c r="D51" s="5" t="s">
        <v>126</v>
      </c>
      <c r="E51" s="13" t="n">
        <f aca="false">COUNTIF('기능 명세'!$A:$A,A51)</f>
        <v>5</v>
      </c>
      <c r="F51" s="13" t="n">
        <f aca="false">COUNTIF('API_내부 함수'!$A:$A,A51)</f>
        <v>2</v>
      </c>
      <c r="G51" s="13" t="n">
        <f aca="false">COUNTIF(API_크롬!$A:$A,A51)</f>
        <v>1</v>
      </c>
      <c r="H51" s="13"/>
    </row>
    <row r="52" customFormat="false" ht="15" hidden="false" customHeight="true" outlineLevel="0" collapsed="false">
      <c r="A52" s="13" t="s">
        <v>60</v>
      </c>
      <c r="B52" s="4" t="s">
        <v>127</v>
      </c>
      <c r="C52" s="15" t="s">
        <v>89</v>
      </c>
      <c r="D52" s="5" t="s">
        <v>126</v>
      </c>
      <c r="E52" s="13" t="n">
        <f aca="false">COUNTIF('기능 명세'!$A:$A,A52)</f>
        <v>6</v>
      </c>
      <c r="F52" s="13" t="n">
        <f aca="false">COUNTIF('API_내부 함수'!$A:$A,A52)</f>
        <v>1</v>
      </c>
      <c r="G52" s="13" t="n">
        <f aca="false">COUNTIF(API_크롬!$A:$A,A52)</f>
        <v>0</v>
      </c>
      <c r="H52" s="13"/>
    </row>
    <row r="53" customFormat="false" ht="15" hidden="false" customHeight="true" outlineLevel="0" collapsed="false">
      <c r="A53" s="13" t="s">
        <v>128</v>
      </c>
      <c r="B53" s="4" t="s">
        <v>129</v>
      </c>
      <c r="C53" s="15" t="s">
        <v>89</v>
      </c>
      <c r="D53" s="5" t="s">
        <v>130</v>
      </c>
      <c r="E53" s="13" t="n">
        <f aca="false">COUNTIF('기능 명세'!$A:$A,A53)</f>
        <v>4</v>
      </c>
      <c r="F53" s="13" t="n">
        <f aca="false">COUNTIF('API_내부 함수'!$A:$A,A53)</f>
        <v>3</v>
      </c>
      <c r="G53" s="13" t="n">
        <f aca="false">COUNTIF(API_크롬!$A:$A,A53)</f>
        <v>0</v>
      </c>
      <c r="H53" s="13"/>
    </row>
    <row r="54" customFormat="false" ht="15" hidden="false" customHeight="true" outlineLevel="0" collapsed="false">
      <c r="A54" s="13" t="s">
        <v>131</v>
      </c>
      <c r="B54" s="4" t="s">
        <v>132</v>
      </c>
      <c r="C54" s="16" t="s">
        <v>92</v>
      </c>
      <c r="D54" s="5" t="s">
        <v>133</v>
      </c>
      <c r="E54" s="13" t="n">
        <f aca="false">COUNTIF('기능 명세'!$A:$A,A54)</f>
        <v>5</v>
      </c>
      <c r="F54" s="13" t="n">
        <f aca="false">COUNTIF('API_내부 함수'!$A:$A,A54)</f>
        <v>0</v>
      </c>
      <c r="G54" s="13" t="n">
        <f aca="false">COUNTIF(API_크롬!$A:$A,A54)</f>
        <v>0</v>
      </c>
      <c r="H54" s="13"/>
    </row>
    <row r="55" customFormat="false" ht="15" hidden="false" customHeight="true" outlineLevel="0" collapsed="false">
      <c r="A55" s="13" t="s">
        <v>134</v>
      </c>
      <c r="B55" s="4" t="s">
        <v>135</v>
      </c>
      <c r="C55" s="16" t="s">
        <v>92</v>
      </c>
      <c r="D55" s="5" t="s">
        <v>136</v>
      </c>
      <c r="E55" s="13" t="n">
        <f aca="false">COUNTIF('기능 명세'!$A:$A,A55)</f>
        <v>3</v>
      </c>
      <c r="F55" s="13" t="n">
        <f aca="false">COUNTIF('API_내부 함수'!$A:$A,A55)</f>
        <v>1</v>
      </c>
      <c r="G55" s="13" t="n">
        <f aca="false">COUNTIF(API_크롬!$A:$A,A55)</f>
        <v>0</v>
      </c>
      <c r="H55" s="13"/>
    </row>
    <row r="56" customFormat="false" ht="15" hidden="false" customHeight="true" outlineLevel="0" collapsed="false">
      <c r="A56" s="13" t="s">
        <v>68</v>
      </c>
      <c r="B56" s="4" t="s">
        <v>137</v>
      </c>
      <c r="C56" s="15" t="s">
        <v>89</v>
      </c>
      <c r="D56" s="5" t="s">
        <v>138</v>
      </c>
      <c r="E56" s="13" t="n">
        <f aca="false">COUNTIF('기능 명세'!$A:$A,A56)</f>
        <v>3</v>
      </c>
      <c r="F56" s="13" t="n">
        <f aca="false">COUNTIF('API_내부 함수'!$A:$A,A56)</f>
        <v>1</v>
      </c>
      <c r="G56" s="13" t="n">
        <f aca="false">COUNTIF(API_크롬!$A:$A,A56)</f>
        <v>0</v>
      </c>
      <c r="H56" s="13"/>
    </row>
    <row r="57" customFormat="false" ht="15" hidden="false" customHeight="true" outlineLevel="0" collapsed="false">
      <c r="A57" s="9" t="s">
        <v>69</v>
      </c>
      <c r="B57" s="10"/>
      <c r="C57" s="10"/>
      <c r="D57" s="10"/>
      <c r="E57" s="11" t="n">
        <f aca="false">SUM(E36:E56)</f>
        <v>117</v>
      </c>
      <c r="F57" s="11" t="n">
        <f aca="false">SUM(F36:F56)</f>
        <v>46</v>
      </c>
      <c r="G57" s="11" t="n">
        <f aca="false">SUM(G36:G56)</f>
        <v>22</v>
      </c>
    </row>
    <row r="59" customFormat="false" ht="16.5" hidden="false" customHeight="true" outlineLevel="0" collapsed="false">
      <c r="A59" s="12" t="s">
        <v>139</v>
      </c>
    </row>
    <row r="60" customFormat="false" ht="15" hidden="false" customHeight="true" outlineLevel="0" collapsed="false">
      <c r="A60" s="7" t="s">
        <v>73</v>
      </c>
      <c r="B60" s="7" t="s">
        <v>140</v>
      </c>
      <c r="C60" s="7"/>
      <c r="D60" s="7" t="s">
        <v>141</v>
      </c>
      <c r="E60" s="7" t="s">
        <v>24</v>
      </c>
      <c r="F60" s="7" t="s">
        <v>75</v>
      </c>
      <c r="G60" s="7" t="s">
        <v>76</v>
      </c>
    </row>
    <row r="61" customFormat="false" ht="48" hidden="false" customHeight="true" outlineLevel="0" collapsed="false">
      <c r="A61" s="14" t="s">
        <v>79</v>
      </c>
      <c r="B61" s="4" t="s">
        <v>142</v>
      </c>
      <c r="C61" s="4"/>
      <c r="D61" s="5" t="s">
        <v>143</v>
      </c>
      <c r="E61" s="13" t="n">
        <f aca="false">COUNTIF('기능 명세'!$B:$B,A61)</f>
        <v>29</v>
      </c>
      <c r="F61" s="13" t="n">
        <f aca="false">COUNTIF('API_내부 함수'!$B:$B,A61)</f>
        <v>22</v>
      </c>
      <c r="G61" s="13" t="n">
        <f aca="false">COUNTIF(API_크롬!$B:$B,A61)</f>
        <v>11</v>
      </c>
    </row>
    <row r="62" customFormat="false" ht="48" hidden="false" customHeight="true" outlineLevel="0" collapsed="false">
      <c r="A62" s="17" t="s">
        <v>96</v>
      </c>
      <c r="B62" s="4" t="s">
        <v>144</v>
      </c>
      <c r="C62" s="4"/>
      <c r="D62" s="5" t="s">
        <v>145</v>
      </c>
      <c r="E62" s="13" t="n">
        <f aca="false">COUNTIF('기능 명세'!$B:$B,A62)</f>
        <v>28</v>
      </c>
      <c r="F62" s="13" t="n">
        <f aca="false">COUNTIF('API_내부 함수'!$B:$B,A62)</f>
        <v>9</v>
      </c>
      <c r="G62" s="13" t="n">
        <f aca="false">COUNTIF(API_크롬!$B:$B,A62)</f>
        <v>5</v>
      </c>
    </row>
    <row r="63" customFormat="false" ht="48" hidden="false" customHeight="true" outlineLevel="0" collapsed="false">
      <c r="A63" s="16" t="s">
        <v>92</v>
      </c>
      <c r="B63" s="4" t="s">
        <v>146</v>
      </c>
      <c r="C63" s="4"/>
      <c r="D63" s="5" t="s">
        <v>147</v>
      </c>
      <c r="E63" s="13" t="n">
        <f aca="false">COUNTIF('기능 명세'!$B:$B,A63)</f>
        <v>30</v>
      </c>
      <c r="F63" s="13" t="n">
        <f aca="false">COUNTIF('API_내부 함수'!$B:$B,A63)</f>
        <v>6</v>
      </c>
      <c r="G63" s="13" t="n">
        <f aca="false">COUNTIF(API_크롬!$B:$B,A63)</f>
        <v>0</v>
      </c>
    </row>
    <row r="64" customFormat="false" ht="48" hidden="false" customHeight="true" outlineLevel="0" collapsed="false">
      <c r="A64" s="15" t="s">
        <v>89</v>
      </c>
      <c r="B64" s="4" t="s">
        <v>148</v>
      </c>
      <c r="C64" s="4"/>
      <c r="D64" s="5" t="s">
        <v>149</v>
      </c>
      <c r="E64" s="13" t="n">
        <f aca="false">COUNTIF('기능 명세'!$B:$B,A64)</f>
        <v>30</v>
      </c>
      <c r="F64" s="13" t="n">
        <f aca="false">COUNTIF('API_내부 함수'!$B:$B,A64)</f>
        <v>9</v>
      </c>
      <c r="G64" s="13" t="n">
        <f aca="false">COUNTIF(API_크롬!$B:$B,A64)</f>
        <v>6</v>
      </c>
    </row>
    <row r="65" customFormat="false" ht="63.75" hidden="false" customHeight="true" outlineLevel="0" collapsed="false">
      <c r="A65" s="18" t="s">
        <v>150</v>
      </c>
      <c r="B65" s="19" t="s">
        <v>151</v>
      </c>
      <c r="C65" s="19"/>
      <c r="D65" s="19"/>
      <c r="E65" s="19"/>
      <c r="F65" s="19"/>
      <c r="G65" s="19"/>
    </row>
  </sheetData>
  <mergeCells count="16">
    <mergeCell ref="B3:G3"/>
    <mergeCell ref="B4:G4"/>
    <mergeCell ref="B5:G5"/>
    <mergeCell ref="B6:G6"/>
    <mergeCell ref="B7:G7"/>
    <mergeCell ref="B8:G8"/>
    <mergeCell ref="B9:G9"/>
    <mergeCell ref="B10:G10"/>
    <mergeCell ref="B11:G11"/>
    <mergeCell ref="B12:G12"/>
    <mergeCell ref="B60:C60"/>
    <mergeCell ref="B61:C61"/>
    <mergeCell ref="B62:C62"/>
    <mergeCell ref="B63:C63"/>
    <mergeCell ref="B64:C64"/>
    <mergeCell ref="B65:G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9"/>
    <col collapsed="false" customWidth="true" hidden="false" outlineLevel="0" max="3" min="3" style="1" width="13"/>
    <col collapsed="false" customWidth="true" hidden="false" outlineLevel="0" max="4" min="4" style="1" width="8"/>
    <col collapsed="false" customWidth="true" hidden="false" outlineLevel="0" max="5" min="5" style="1" width="20"/>
    <col collapsed="false" customWidth="true" hidden="false" outlineLevel="0" max="6" min="6" style="1" width="9"/>
    <col collapsed="false" customWidth="true" hidden="false" outlineLevel="0" max="7" min="7" style="1" width="11"/>
    <col collapsed="false" customWidth="true" hidden="false" outlineLevel="0" max="8" min="8" style="1" width="7"/>
    <col collapsed="false" customWidth="true" hidden="false" outlineLevel="0" max="9" min="9" style="1" width="13"/>
    <col collapsed="false" customWidth="true" hidden="false" outlineLevel="0" max="10" min="10" style="1" width="78"/>
    <col collapsed="false" customWidth="true" hidden="false" outlineLevel="0" max="12" min="11" style="1" width="11"/>
    <col collapsed="false" customWidth="true" hidden="false" outlineLevel="0" max="13" min="13" style="1" width="13"/>
    <col collapsed="false" customWidth="true" hidden="false" outlineLevel="0" max="14" min="14" style="1" width="42"/>
  </cols>
  <sheetData>
    <row r="1" customFormat="false" ht="29.25" hidden="false" customHeight="true" outlineLevel="0" collapsed="false">
      <c r="A1" s="7" t="s">
        <v>71</v>
      </c>
      <c r="B1" s="7" t="s">
        <v>73</v>
      </c>
      <c r="C1" s="7" t="s">
        <v>152</v>
      </c>
      <c r="D1" s="7" t="s">
        <v>21</v>
      </c>
      <c r="E1" s="7" t="s">
        <v>22</v>
      </c>
      <c r="F1" s="7" t="s">
        <v>19</v>
      </c>
      <c r="G1" s="7" t="s">
        <v>153</v>
      </c>
      <c r="H1" s="7" t="s">
        <v>154</v>
      </c>
      <c r="I1" s="20" t="s">
        <v>155</v>
      </c>
      <c r="J1" s="7" t="s">
        <v>156</v>
      </c>
      <c r="K1" s="7" t="s">
        <v>157</v>
      </c>
      <c r="L1" s="7" t="s">
        <v>23</v>
      </c>
      <c r="M1" s="7" t="s">
        <v>158</v>
      </c>
      <c r="N1" s="7" t="s">
        <v>159</v>
      </c>
    </row>
    <row r="2" customFormat="false" ht="29.25" hidden="false" customHeight="true" outlineLevel="0" collapsed="false">
      <c r="A2" s="13" t="s">
        <v>81</v>
      </c>
      <c r="B2" s="14" t="s">
        <v>79</v>
      </c>
      <c r="C2" s="13" t="s">
        <v>89</v>
      </c>
      <c r="D2" s="8" t="s">
        <v>27</v>
      </c>
      <c r="E2" s="4" t="s">
        <v>28</v>
      </c>
      <c r="F2" s="8" t="s">
        <v>29</v>
      </c>
      <c r="G2" s="8" t="s">
        <v>160</v>
      </c>
      <c r="H2" s="13" t="s">
        <v>161</v>
      </c>
      <c r="I2" s="8" t="s">
        <v>162</v>
      </c>
      <c r="J2" s="5" t="s">
        <v>163</v>
      </c>
      <c r="K2" s="13" t="s">
        <v>164</v>
      </c>
      <c r="L2" s="8" t="s">
        <v>30</v>
      </c>
      <c r="M2" s="8" t="s">
        <v>165</v>
      </c>
      <c r="N2" s="4"/>
    </row>
    <row r="3" customFormat="false" ht="29.25" hidden="false" customHeight="true" outlineLevel="0" collapsed="false">
      <c r="A3" s="13" t="s">
        <v>81</v>
      </c>
      <c r="B3" s="14" t="s">
        <v>79</v>
      </c>
      <c r="C3" s="13" t="s">
        <v>89</v>
      </c>
      <c r="D3" s="8" t="s">
        <v>27</v>
      </c>
      <c r="E3" s="4" t="s">
        <v>28</v>
      </c>
      <c r="F3" s="8" t="s">
        <v>29</v>
      </c>
      <c r="G3" s="8" t="s">
        <v>166</v>
      </c>
      <c r="H3" s="13" t="s">
        <v>161</v>
      </c>
      <c r="I3" s="8" t="s">
        <v>162</v>
      </c>
      <c r="J3" s="5" t="s">
        <v>167</v>
      </c>
      <c r="K3" s="13" t="s">
        <v>164</v>
      </c>
      <c r="L3" s="8" t="s">
        <v>30</v>
      </c>
      <c r="M3" s="8" t="s">
        <v>165</v>
      </c>
      <c r="N3" s="4"/>
    </row>
    <row r="4" customFormat="false" ht="29.25" hidden="false" customHeight="true" outlineLevel="0" collapsed="false">
      <c r="A4" s="13" t="s">
        <v>81</v>
      </c>
      <c r="B4" s="14" t="s">
        <v>79</v>
      </c>
      <c r="C4" s="13"/>
      <c r="D4" s="8" t="s">
        <v>27</v>
      </c>
      <c r="E4" s="4" t="s">
        <v>28</v>
      </c>
      <c r="F4" s="8" t="s">
        <v>29</v>
      </c>
      <c r="G4" s="8" t="s">
        <v>168</v>
      </c>
      <c r="H4" s="13" t="s">
        <v>161</v>
      </c>
      <c r="I4" s="8" t="s">
        <v>169</v>
      </c>
      <c r="J4" s="5" t="s">
        <v>170</v>
      </c>
      <c r="K4" s="13" t="s">
        <v>171</v>
      </c>
      <c r="L4" s="8" t="s">
        <v>30</v>
      </c>
      <c r="M4" s="8" t="s">
        <v>165</v>
      </c>
      <c r="N4" s="4"/>
    </row>
    <row r="5" customFormat="false" ht="29.25" hidden="false" customHeight="true" outlineLevel="0" collapsed="false">
      <c r="A5" s="13" t="s">
        <v>81</v>
      </c>
      <c r="B5" s="14" t="s">
        <v>79</v>
      </c>
      <c r="C5" s="13"/>
      <c r="D5" s="8" t="s">
        <v>27</v>
      </c>
      <c r="E5" s="4" t="s">
        <v>28</v>
      </c>
      <c r="F5" s="8" t="s">
        <v>29</v>
      </c>
      <c r="G5" s="8" t="s">
        <v>172</v>
      </c>
      <c r="H5" s="13" t="s">
        <v>161</v>
      </c>
      <c r="I5" s="8" t="s">
        <v>169</v>
      </c>
      <c r="J5" s="5" t="s">
        <v>173</v>
      </c>
      <c r="K5" s="13" t="s">
        <v>171</v>
      </c>
      <c r="L5" s="8" t="s">
        <v>30</v>
      </c>
      <c r="M5" s="8" t="s">
        <v>165</v>
      </c>
      <c r="N5" s="4"/>
    </row>
    <row r="6" customFormat="false" ht="29.25" hidden="false" customHeight="true" outlineLevel="0" collapsed="false">
      <c r="A6" s="13" t="s">
        <v>81</v>
      </c>
      <c r="B6" s="14" t="s">
        <v>79</v>
      </c>
      <c r="C6" s="13" t="s">
        <v>89</v>
      </c>
      <c r="D6" s="8" t="s">
        <v>27</v>
      </c>
      <c r="E6" s="4" t="s">
        <v>28</v>
      </c>
      <c r="F6" s="8" t="s">
        <v>29</v>
      </c>
      <c r="G6" s="8" t="s">
        <v>174</v>
      </c>
      <c r="H6" s="21" t="s">
        <v>175</v>
      </c>
      <c r="I6" s="8" t="s">
        <v>176</v>
      </c>
      <c r="J6" s="5" t="s">
        <v>177</v>
      </c>
      <c r="K6" s="13" t="s">
        <v>164</v>
      </c>
      <c r="L6" s="8" t="s">
        <v>30</v>
      </c>
      <c r="M6" s="8" t="s">
        <v>165</v>
      </c>
      <c r="N6" s="22" t="s">
        <v>178</v>
      </c>
    </row>
    <row r="7" customFormat="false" ht="43.5" hidden="false" customHeight="true" outlineLevel="0" collapsed="false">
      <c r="A7" s="13" t="s">
        <v>84</v>
      </c>
      <c r="B7" s="14" t="s">
        <v>79</v>
      </c>
      <c r="C7" s="13" t="s">
        <v>96</v>
      </c>
      <c r="D7" s="8" t="s">
        <v>27</v>
      </c>
      <c r="E7" s="4" t="s">
        <v>28</v>
      </c>
      <c r="F7" s="8" t="s">
        <v>29</v>
      </c>
      <c r="G7" s="8" t="s">
        <v>179</v>
      </c>
      <c r="H7" s="21" t="s">
        <v>175</v>
      </c>
      <c r="I7" s="8" t="s">
        <v>176</v>
      </c>
      <c r="J7" s="5" t="s">
        <v>180</v>
      </c>
      <c r="K7" s="13" t="s">
        <v>171</v>
      </c>
      <c r="L7" s="8" t="s">
        <v>30</v>
      </c>
      <c r="M7" s="8" t="s">
        <v>165</v>
      </c>
      <c r="N7" s="22" t="s">
        <v>181</v>
      </c>
    </row>
    <row r="8" customFormat="false" ht="43.5" hidden="false" customHeight="true" outlineLevel="0" collapsed="false">
      <c r="A8" s="13" t="s">
        <v>81</v>
      </c>
      <c r="B8" s="14" t="s">
        <v>79</v>
      </c>
      <c r="C8" s="13" t="s">
        <v>96</v>
      </c>
      <c r="D8" s="8" t="s">
        <v>27</v>
      </c>
      <c r="E8" s="4" t="s">
        <v>28</v>
      </c>
      <c r="F8" s="8" t="s">
        <v>29</v>
      </c>
      <c r="G8" s="8" t="s">
        <v>182</v>
      </c>
      <c r="H8" s="21" t="s">
        <v>175</v>
      </c>
      <c r="I8" s="8" t="s">
        <v>176</v>
      </c>
      <c r="J8" s="5" t="s">
        <v>183</v>
      </c>
      <c r="K8" s="13" t="s">
        <v>171</v>
      </c>
      <c r="L8" s="8" t="s">
        <v>30</v>
      </c>
      <c r="M8" s="8" t="s">
        <v>165</v>
      </c>
      <c r="N8" s="22" t="s">
        <v>184</v>
      </c>
    </row>
    <row r="9" customFormat="false" ht="29.25" hidden="false" customHeight="true" outlineLevel="0" collapsed="false">
      <c r="A9" s="13" t="s">
        <v>87</v>
      </c>
      <c r="B9" s="15" t="s">
        <v>89</v>
      </c>
      <c r="C9" s="13"/>
      <c r="D9" s="8" t="s">
        <v>31</v>
      </c>
      <c r="E9" s="4" t="s">
        <v>32</v>
      </c>
      <c r="F9" s="8" t="s">
        <v>29</v>
      </c>
      <c r="G9" s="8" t="s">
        <v>185</v>
      </c>
      <c r="H9" s="13" t="s">
        <v>161</v>
      </c>
      <c r="I9" s="8" t="s">
        <v>169</v>
      </c>
      <c r="J9" s="5" t="s">
        <v>186</v>
      </c>
      <c r="K9" s="13" t="s">
        <v>164</v>
      </c>
      <c r="L9" s="8" t="s">
        <v>30</v>
      </c>
      <c r="M9" s="8" t="s">
        <v>187</v>
      </c>
      <c r="N9" s="4" t="s">
        <v>188</v>
      </c>
    </row>
    <row r="10" customFormat="false" ht="57.75" hidden="false" customHeight="true" outlineLevel="0" collapsed="false">
      <c r="A10" s="13" t="s">
        <v>87</v>
      </c>
      <c r="B10" s="15" t="s">
        <v>89</v>
      </c>
      <c r="C10" s="13" t="s">
        <v>79</v>
      </c>
      <c r="D10" s="8" t="s">
        <v>31</v>
      </c>
      <c r="E10" s="4" t="s">
        <v>32</v>
      </c>
      <c r="F10" s="8" t="s">
        <v>29</v>
      </c>
      <c r="G10" s="8" t="s">
        <v>189</v>
      </c>
      <c r="H10" s="13" t="s">
        <v>161</v>
      </c>
      <c r="I10" s="8" t="s">
        <v>162</v>
      </c>
      <c r="J10" s="5" t="s">
        <v>190</v>
      </c>
      <c r="K10" s="13" t="s">
        <v>164</v>
      </c>
      <c r="L10" s="8" t="s">
        <v>30</v>
      </c>
      <c r="M10" s="8" t="s">
        <v>187</v>
      </c>
      <c r="N10" s="22" t="s">
        <v>191</v>
      </c>
    </row>
    <row r="11" customFormat="false" ht="100.5" hidden="false" customHeight="true" outlineLevel="0" collapsed="false">
      <c r="A11" s="13" t="s">
        <v>87</v>
      </c>
      <c r="B11" s="15" t="s">
        <v>89</v>
      </c>
      <c r="C11" s="13"/>
      <c r="D11" s="8" t="s">
        <v>31</v>
      </c>
      <c r="E11" s="4" t="s">
        <v>32</v>
      </c>
      <c r="F11" s="8" t="s">
        <v>29</v>
      </c>
      <c r="G11" s="8" t="s">
        <v>192</v>
      </c>
      <c r="H11" s="21" t="s">
        <v>175</v>
      </c>
      <c r="I11" s="8" t="s">
        <v>176</v>
      </c>
      <c r="J11" s="5" t="s">
        <v>193</v>
      </c>
      <c r="K11" s="13" t="s">
        <v>164</v>
      </c>
      <c r="L11" s="8" t="s">
        <v>30</v>
      </c>
      <c r="M11" s="8" t="s">
        <v>187</v>
      </c>
      <c r="N11" s="23" t="s">
        <v>194</v>
      </c>
    </row>
    <row r="12" customFormat="false" ht="29.25" hidden="false" customHeight="true" outlineLevel="0" collapsed="false">
      <c r="A12" s="13" t="s">
        <v>87</v>
      </c>
      <c r="B12" s="15" t="s">
        <v>89</v>
      </c>
      <c r="C12" s="13"/>
      <c r="D12" s="8" t="s">
        <v>31</v>
      </c>
      <c r="E12" s="4" t="s">
        <v>32</v>
      </c>
      <c r="F12" s="8" t="s">
        <v>29</v>
      </c>
      <c r="G12" s="8" t="s">
        <v>195</v>
      </c>
      <c r="H12" s="21" t="s">
        <v>175</v>
      </c>
      <c r="I12" s="8" t="s">
        <v>176</v>
      </c>
      <c r="J12" s="5" t="s">
        <v>196</v>
      </c>
      <c r="K12" s="13" t="s">
        <v>164</v>
      </c>
      <c r="L12" s="8" t="s">
        <v>30</v>
      </c>
      <c r="M12" s="8" t="s">
        <v>187</v>
      </c>
      <c r="N12" s="4"/>
    </row>
    <row r="13" customFormat="false" ht="29.25" hidden="false" customHeight="true" outlineLevel="0" collapsed="false">
      <c r="A13" s="13" t="s">
        <v>87</v>
      </c>
      <c r="B13" s="15" t="s">
        <v>89</v>
      </c>
      <c r="C13" s="13"/>
      <c r="D13" s="8" t="s">
        <v>31</v>
      </c>
      <c r="E13" s="4" t="s">
        <v>32</v>
      </c>
      <c r="F13" s="8" t="s">
        <v>29</v>
      </c>
      <c r="G13" s="8" t="s">
        <v>197</v>
      </c>
      <c r="H13" s="21" t="s">
        <v>175</v>
      </c>
      <c r="I13" s="8" t="s">
        <v>176</v>
      </c>
      <c r="J13" s="5" t="s">
        <v>198</v>
      </c>
      <c r="K13" s="13" t="s">
        <v>164</v>
      </c>
      <c r="L13" s="8" t="s">
        <v>30</v>
      </c>
      <c r="M13" s="8" t="s">
        <v>187</v>
      </c>
      <c r="N13" s="22" t="s">
        <v>199</v>
      </c>
    </row>
    <row r="14" customFormat="false" ht="29.25" hidden="false" customHeight="true" outlineLevel="0" collapsed="false">
      <c r="A14" s="13" t="s">
        <v>34</v>
      </c>
      <c r="B14" s="16" t="s">
        <v>92</v>
      </c>
      <c r="C14" s="13" t="s">
        <v>89</v>
      </c>
      <c r="D14" s="8" t="s">
        <v>33</v>
      </c>
      <c r="E14" s="4" t="s">
        <v>34</v>
      </c>
      <c r="F14" s="8" t="s">
        <v>29</v>
      </c>
      <c r="G14" s="8" t="s">
        <v>200</v>
      </c>
      <c r="H14" s="13" t="s">
        <v>161</v>
      </c>
      <c r="I14" s="8" t="s">
        <v>169</v>
      </c>
      <c r="J14" s="5" t="s">
        <v>201</v>
      </c>
      <c r="K14" s="13" t="s">
        <v>164</v>
      </c>
      <c r="L14" s="8" t="s">
        <v>30</v>
      </c>
      <c r="M14" s="8" t="s">
        <v>187</v>
      </c>
      <c r="N14" s="4"/>
    </row>
    <row r="15" customFormat="false" ht="29.25" hidden="false" customHeight="true" outlineLevel="0" collapsed="false">
      <c r="A15" s="13" t="s">
        <v>34</v>
      </c>
      <c r="B15" s="16" t="s">
        <v>92</v>
      </c>
      <c r="C15" s="13" t="s">
        <v>89</v>
      </c>
      <c r="D15" s="8" t="s">
        <v>33</v>
      </c>
      <c r="E15" s="4" t="s">
        <v>34</v>
      </c>
      <c r="F15" s="8" t="s">
        <v>29</v>
      </c>
      <c r="G15" s="8" t="s">
        <v>202</v>
      </c>
      <c r="H15" s="13" t="s">
        <v>161</v>
      </c>
      <c r="I15" s="8" t="s">
        <v>169</v>
      </c>
      <c r="J15" s="5" t="s">
        <v>203</v>
      </c>
      <c r="K15" s="13" t="s">
        <v>164</v>
      </c>
      <c r="L15" s="8" t="s">
        <v>30</v>
      </c>
      <c r="M15" s="8" t="s">
        <v>187</v>
      </c>
      <c r="N15" s="22" t="s">
        <v>204</v>
      </c>
    </row>
    <row r="16" customFormat="false" ht="29.25" hidden="false" customHeight="true" outlineLevel="0" collapsed="false">
      <c r="A16" s="13" t="s">
        <v>34</v>
      </c>
      <c r="B16" s="16" t="s">
        <v>92</v>
      </c>
      <c r="C16" s="13" t="s">
        <v>89</v>
      </c>
      <c r="D16" s="8" t="s">
        <v>33</v>
      </c>
      <c r="E16" s="4" t="s">
        <v>34</v>
      </c>
      <c r="F16" s="8" t="s">
        <v>29</v>
      </c>
      <c r="G16" s="8" t="s">
        <v>205</v>
      </c>
      <c r="H16" s="13" t="s">
        <v>161</v>
      </c>
      <c r="I16" s="8" t="s">
        <v>162</v>
      </c>
      <c r="J16" s="5" t="s">
        <v>206</v>
      </c>
      <c r="K16" s="13" t="s">
        <v>164</v>
      </c>
      <c r="L16" s="8" t="s">
        <v>30</v>
      </c>
      <c r="M16" s="8" t="s">
        <v>187</v>
      </c>
      <c r="N16" s="4"/>
    </row>
    <row r="17" customFormat="false" ht="29.25" hidden="false" customHeight="true" outlineLevel="0" collapsed="false">
      <c r="A17" s="13" t="s">
        <v>34</v>
      </c>
      <c r="B17" s="16" t="s">
        <v>92</v>
      </c>
      <c r="C17" s="13" t="s">
        <v>89</v>
      </c>
      <c r="D17" s="8" t="s">
        <v>33</v>
      </c>
      <c r="E17" s="4" t="s">
        <v>34</v>
      </c>
      <c r="F17" s="8" t="s">
        <v>47</v>
      </c>
      <c r="G17" s="8" t="s">
        <v>207</v>
      </c>
      <c r="H17" s="13" t="s">
        <v>161</v>
      </c>
      <c r="I17" s="8" t="s">
        <v>162</v>
      </c>
      <c r="J17" s="5" t="s">
        <v>208</v>
      </c>
      <c r="K17" s="13" t="s">
        <v>164</v>
      </c>
      <c r="L17" s="8" t="s">
        <v>48</v>
      </c>
      <c r="M17" s="8" t="s">
        <v>187</v>
      </c>
      <c r="N17" s="23" t="s">
        <v>209</v>
      </c>
    </row>
    <row r="18" customFormat="false" ht="29.25" hidden="false" customHeight="true" outlineLevel="0" collapsed="false">
      <c r="A18" s="13" t="s">
        <v>34</v>
      </c>
      <c r="B18" s="16" t="s">
        <v>92</v>
      </c>
      <c r="C18" s="13" t="s">
        <v>89</v>
      </c>
      <c r="D18" s="8" t="s">
        <v>33</v>
      </c>
      <c r="E18" s="4" t="s">
        <v>34</v>
      </c>
      <c r="F18" s="8" t="s">
        <v>47</v>
      </c>
      <c r="G18" s="8" t="s">
        <v>210</v>
      </c>
      <c r="H18" s="13" t="s">
        <v>161</v>
      </c>
      <c r="I18" s="8" t="s">
        <v>162</v>
      </c>
      <c r="J18" s="5" t="s">
        <v>211</v>
      </c>
      <c r="K18" s="13" t="s">
        <v>164</v>
      </c>
      <c r="L18" s="8" t="s">
        <v>48</v>
      </c>
      <c r="M18" s="8" t="s">
        <v>187</v>
      </c>
      <c r="N18" s="4"/>
    </row>
    <row r="19" customFormat="false" ht="29.25" hidden="false" customHeight="true" outlineLevel="0" collapsed="false">
      <c r="A19" s="13" t="s">
        <v>34</v>
      </c>
      <c r="B19" s="16" t="s">
        <v>92</v>
      </c>
      <c r="C19" s="13" t="s">
        <v>89</v>
      </c>
      <c r="D19" s="8" t="s">
        <v>33</v>
      </c>
      <c r="E19" s="4" t="s">
        <v>34</v>
      </c>
      <c r="F19" s="8" t="s">
        <v>47</v>
      </c>
      <c r="G19" s="8" t="s">
        <v>212</v>
      </c>
      <c r="H19" s="13" t="s">
        <v>161</v>
      </c>
      <c r="I19" s="8" t="s">
        <v>162</v>
      </c>
      <c r="J19" s="5" t="s">
        <v>213</v>
      </c>
      <c r="K19" s="13" t="s">
        <v>164</v>
      </c>
      <c r="L19" s="8" t="s">
        <v>48</v>
      </c>
      <c r="M19" s="8" t="s">
        <v>187</v>
      </c>
      <c r="N19" s="22" t="s">
        <v>214</v>
      </c>
    </row>
    <row r="20" customFormat="false" ht="29.25" hidden="false" customHeight="true" outlineLevel="0" collapsed="false">
      <c r="A20" s="13" t="s">
        <v>34</v>
      </c>
      <c r="B20" s="16" t="s">
        <v>92</v>
      </c>
      <c r="C20" s="13" t="s">
        <v>89</v>
      </c>
      <c r="D20" s="8" t="s">
        <v>33</v>
      </c>
      <c r="E20" s="4" t="s">
        <v>34</v>
      </c>
      <c r="F20" s="8" t="s">
        <v>47</v>
      </c>
      <c r="G20" s="8" t="s">
        <v>215</v>
      </c>
      <c r="H20" s="21" t="s">
        <v>175</v>
      </c>
      <c r="I20" s="8" t="s">
        <v>176</v>
      </c>
      <c r="J20" s="5" t="s">
        <v>216</v>
      </c>
      <c r="K20" s="13" t="s">
        <v>164</v>
      </c>
      <c r="L20" s="8" t="s">
        <v>48</v>
      </c>
      <c r="M20" s="8" t="s">
        <v>187</v>
      </c>
      <c r="N20" s="22" t="s">
        <v>217</v>
      </c>
    </row>
    <row r="21" customFormat="false" ht="29.25" hidden="false" customHeight="true" outlineLevel="0" collapsed="false">
      <c r="A21" s="13" t="s">
        <v>34</v>
      </c>
      <c r="B21" s="16" t="s">
        <v>92</v>
      </c>
      <c r="C21" s="13" t="s">
        <v>89</v>
      </c>
      <c r="D21" s="8" t="s">
        <v>33</v>
      </c>
      <c r="E21" s="4" t="s">
        <v>34</v>
      </c>
      <c r="F21" s="8" t="s">
        <v>47</v>
      </c>
      <c r="G21" s="8" t="s">
        <v>218</v>
      </c>
      <c r="H21" s="21" t="s">
        <v>175</v>
      </c>
      <c r="I21" s="8" t="s">
        <v>176</v>
      </c>
      <c r="J21" s="5" t="s">
        <v>219</v>
      </c>
      <c r="K21" s="13" t="s">
        <v>164</v>
      </c>
      <c r="L21" s="8" t="s">
        <v>48</v>
      </c>
      <c r="M21" s="8" t="s">
        <v>187</v>
      </c>
      <c r="N21" s="23" t="s">
        <v>220</v>
      </c>
    </row>
    <row r="22" customFormat="false" ht="29.25" hidden="false" customHeight="true" outlineLevel="0" collapsed="false">
      <c r="A22" s="13" t="s">
        <v>115</v>
      </c>
      <c r="B22" s="17" t="s">
        <v>96</v>
      </c>
      <c r="C22" s="13"/>
      <c r="D22" s="8" t="s">
        <v>37</v>
      </c>
      <c r="E22" s="4" t="s">
        <v>38</v>
      </c>
      <c r="F22" s="8" t="s">
        <v>29</v>
      </c>
      <c r="G22" s="8" t="s">
        <v>221</v>
      </c>
      <c r="H22" s="13" t="s">
        <v>161</v>
      </c>
      <c r="I22" s="8" t="s">
        <v>169</v>
      </c>
      <c r="J22" s="5" t="s">
        <v>222</v>
      </c>
      <c r="K22" s="13" t="s">
        <v>171</v>
      </c>
      <c r="L22" s="8" t="s">
        <v>30</v>
      </c>
      <c r="M22" s="8" t="s">
        <v>223</v>
      </c>
      <c r="N22" s="4"/>
    </row>
    <row r="23" customFormat="false" ht="43.5" hidden="false" customHeight="true" outlineLevel="0" collapsed="false">
      <c r="A23" s="13" t="s">
        <v>115</v>
      </c>
      <c r="B23" s="17" t="s">
        <v>96</v>
      </c>
      <c r="C23" s="13"/>
      <c r="D23" s="8" t="s">
        <v>37</v>
      </c>
      <c r="E23" s="4" t="s">
        <v>38</v>
      </c>
      <c r="F23" s="8" t="s">
        <v>29</v>
      </c>
      <c r="G23" s="8" t="s">
        <v>224</v>
      </c>
      <c r="H23" s="13" t="s">
        <v>161</v>
      </c>
      <c r="I23" s="8" t="s">
        <v>169</v>
      </c>
      <c r="J23" s="5" t="s">
        <v>225</v>
      </c>
      <c r="K23" s="13" t="s">
        <v>171</v>
      </c>
      <c r="L23" s="8" t="s">
        <v>30</v>
      </c>
      <c r="M23" s="8" t="s">
        <v>223</v>
      </c>
      <c r="N23" s="23" t="s">
        <v>226</v>
      </c>
    </row>
    <row r="24" customFormat="false" ht="143.25" hidden="false" customHeight="true" outlineLevel="0" collapsed="false">
      <c r="A24" s="13" t="s">
        <v>115</v>
      </c>
      <c r="B24" s="17" t="s">
        <v>96</v>
      </c>
      <c r="C24" s="13"/>
      <c r="D24" s="8" t="s">
        <v>37</v>
      </c>
      <c r="E24" s="4" t="s">
        <v>38</v>
      </c>
      <c r="F24" s="8" t="s">
        <v>29</v>
      </c>
      <c r="G24" s="8" t="s">
        <v>227</v>
      </c>
      <c r="H24" s="13" t="s">
        <v>161</v>
      </c>
      <c r="I24" s="8" t="s">
        <v>169</v>
      </c>
      <c r="J24" s="5" t="s">
        <v>228</v>
      </c>
      <c r="K24" s="13" t="s">
        <v>171</v>
      </c>
      <c r="L24" s="8" t="s">
        <v>30</v>
      </c>
      <c r="M24" s="8" t="s">
        <v>223</v>
      </c>
      <c r="N24" s="23" t="s">
        <v>229</v>
      </c>
    </row>
    <row r="25" customFormat="false" ht="29.25" hidden="false" customHeight="true" outlineLevel="0" collapsed="false">
      <c r="A25" s="13" t="s">
        <v>115</v>
      </c>
      <c r="B25" s="17" t="s">
        <v>96</v>
      </c>
      <c r="C25" s="13" t="s">
        <v>89</v>
      </c>
      <c r="D25" s="8" t="s">
        <v>37</v>
      </c>
      <c r="E25" s="4" t="s">
        <v>38</v>
      </c>
      <c r="F25" s="8" t="s">
        <v>29</v>
      </c>
      <c r="G25" s="8" t="s">
        <v>230</v>
      </c>
      <c r="H25" s="13" t="s">
        <v>161</v>
      </c>
      <c r="I25" s="8" t="s">
        <v>231</v>
      </c>
      <c r="J25" s="5" t="s">
        <v>232</v>
      </c>
      <c r="K25" s="13" t="s">
        <v>164</v>
      </c>
      <c r="L25" s="8" t="s">
        <v>30</v>
      </c>
      <c r="M25" s="8" t="s">
        <v>223</v>
      </c>
      <c r="N25" s="23" t="s">
        <v>233</v>
      </c>
    </row>
    <row r="26" customFormat="false" ht="86.25" hidden="false" customHeight="true" outlineLevel="0" collapsed="false">
      <c r="A26" s="13" t="s">
        <v>115</v>
      </c>
      <c r="B26" s="17" t="s">
        <v>96</v>
      </c>
      <c r="C26" s="13" t="s">
        <v>89</v>
      </c>
      <c r="D26" s="8" t="s">
        <v>37</v>
      </c>
      <c r="E26" s="4" t="s">
        <v>38</v>
      </c>
      <c r="F26" s="8" t="s">
        <v>29</v>
      </c>
      <c r="G26" s="8" t="s">
        <v>234</v>
      </c>
      <c r="H26" s="13" t="s">
        <v>161</v>
      </c>
      <c r="I26" s="8" t="s">
        <v>162</v>
      </c>
      <c r="J26" s="5" t="s">
        <v>235</v>
      </c>
      <c r="K26" s="13" t="s">
        <v>164</v>
      </c>
      <c r="L26" s="8" t="s">
        <v>30</v>
      </c>
      <c r="M26" s="8" t="s">
        <v>223</v>
      </c>
      <c r="N26" s="23" t="s">
        <v>236</v>
      </c>
    </row>
    <row r="27" customFormat="false" ht="29.25" hidden="false" customHeight="true" outlineLevel="0" collapsed="false">
      <c r="A27" s="13" t="s">
        <v>115</v>
      </c>
      <c r="B27" s="17" t="s">
        <v>96</v>
      </c>
      <c r="C27" s="13"/>
      <c r="D27" s="8" t="s">
        <v>37</v>
      </c>
      <c r="E27" s="4" t="s">
        <v>38</v>
      </c>
      <c r="F27" s="8" t="s">
        <v>29</v>
      </c>
      <c r="G27" s="8" t="s">
        <v>237</v>
      </c>
      <c r="H27" s="13" t="s">
        <v>161</v>
      </c>
      <c r="I27" s="8" t="s">
        <v>169</v>
      </c>
      <c r="J27" s="5" t="s">
        <v>238</v>
      </c>
      <c r="K27" s="13" t="s">
        <v>171</v>
      </c>
      <c r="L27" s="8" t="s">
        <v>30</v>
      </c>
      <c r="M27" s="8" t="s">
        <v>223</v>
      </c>
      <c r="N27" s="4"/>
    </row>
    <row r="28" customFormat="false" ht="29.25" hidden="false" customHeight="true" outlineLevel="0" collapsed="false">
      <c r="A28" s="13" t="s">
        <v>115</v>
      </c>
      <c r="B28" s="17" t="s">
        <v>96</v>
      </c>
      <c r="C28" s="13" t="s">
        <v>89</v>
      </c>
      <c r="D28" s="8" t="s">
        <v>37</v>
      </c>
      <c r="E28" s="4" t="s">
        <v>38</v>
      </c>
      <c r="F28" s="8" t="s">
        <v>29</v>
      </c>
      <c r="G28" s="8" t="s">
        <v>239</v>
      </c>
      <c r="H28" s="13" t="s">
        <v>161</v>
      </c>
      <c r="I28" s="8" t="s">
        <v>162</v>
      </c>
      <c r="J28" s="5" t="s">
        <v>240</v>
      </c>
      <c r="K28" s="13" t="s">
        <v>164</v>
      </c>
      <c r="L28" s="8" t="s">
        <v>30</v>
      </c>
      <c r="M28" s="8" t="s">
        <v>223</v>
      </c>
      <c r="N28" s="23" t="s">
        <v>241</v>
      </c>
    </row>
    <row r="29" customFormat="false" ht="29.25" hidden="false" customHeight="true" outlineLevel="0" collapsed="false">
      <c r="A29" s="13" t="s">
        <v>115</v>
      </c>
      <c r="B29" s="17" t="s">
        <v>96</v>
      </c>
      <c r="C29" s="13" t="s">
        <v>89</v>
      </c>
      <c r="D29" s="8" t="s">
        <v>37</v>
      </c>
      <c r="E29" s="4" t="s">
        <v>38</v>
      </c>
      <c r="F29" s="8" t="s">
        <v>47</v>
      </c>
      <c r="G29" s="8" t="s">
        <v>242</v>
      </c>
      <c r="H29" s="13" t="s">
        <v>161</v>
      </c>
      <c r="I29" s="8" t="s">
        <v>162</v>
      </c>
      <c r="J29" s="5" t="s">
        <v>243</v>
      </c>
      <c r="K29" s="13" t="s">
        <v>164</v>
      </c>
      <c r="L29" s="8" t="s">
        <v>48</v>
      </c>
      <c r="M29" s="8" t="s">
        <v>223</v>
      </c>
      <c r="N29" s="4"/>
    </row>
    <row r="30" customFormat="false" ht="43.5" hidden="false" customHeight="true" outlineLevel="0" collapsed="false">
      <c r="A30" s="13" t="s">
        <v>115</v>
      </c>
      <c r="B30" s="17" t="s">
        <v>96</v>
      </c>
      <c r="C30" s="13" t="s">
        <v>89</v>
      </c>
      <c r="D30" s="8" t="s">
        <v>37</v>
      </c>
      <c r="E30" s="4" t="s">
        <v>38</v>
      </c>
      <c r="F30" s="8" t="s">
        <v>29</v>
      </c>
      <c r="G30" s="8" t="s">
        <v>244</v>
      </c>
      <c r="H30" s="13" t="s">
        <v>161</v>
      </c>
      <c r="I30" s="8" t="s">
        <v>162</v>
      </c>
      <c r="J30" s="5" t="s">
        <v>245</v>
      </c>
      <c r="K30" s="13" t="s">
        <v>164</v>
      </c>
      <c r="L30" s="8" t="s">
        <v>30</v>
      </c>
      <c r="M30" s="8" t="s">
        <v>223</v>
      </c>
      <c r="N30" s="23" t="s">
        <v>246</v>
      </c>
    </row>
    <row r="31" customFormat="false" ht="29.25" hidden="false" customHeight="true" outlineLevel="0" collapsed="false">
      <c r="A31" s="13" t="s">
        <v>115</v>
      </c>
      <c r="B31" s="17" t="s">
        <v>96</v>
      </c>
      <c r="C31" s="13" t="s">
        <v>89</v>
      </c>
      <c r="D31" s="8" t="s">
        <v>37</v>
      </c>
      <c r="E31" s="4" t="s">
        <v>38</v>
      </c>
      <c r="F31" s="8" t="s">
        <v>29</v>
      </c>
      <c r="G31" s="8" t="s">
        <v>247</v>
      </c>
      <c r="H31" s="13" t="s">
        <v>161</v>
      </c>
      <c r="I31" s="8" t="s">
        <v>162</v>
      </c>
      <c r="J31" s="5" t="s">
        <v>248</v>
      </c>
      <c r="K31" s="13" t="s">
        <v>164</v>
      </c>
      <c r="L31" s="8" t="s">
        <v>30</v>
      </c>
      <c r="M31" s="8" t="s">
        <v>223</v>
      </c>
      <c r="N31" s="4"/>
    </row>
    <row r="32" customFormat="false" ht="29.25" hidden="false" customHeight="true" outlineLevel="0" collapsed="false">
      <c r="A32" s="13" t="s">
        <v>115</v>
      </c>
      <c r="B32" s="17" t="s">
        <v>96</v>
      </c>
      <c r="C32" s="13" t="s">
        <v>89</v>
      </c>
      <c r="D32" s="8" t="s">
        <v>37</v>
      </c>
      <c r="E32" s="4" t="s">
        <v>38</v>
      </c>
      <c r="F32" s="8" t="s">
        <v>29</v>
      </c>
      <c r="G32" s="8" t="s">
        <v>249</v>
      </c>
      <c r="H32" s="21" t="s">
        <v>175</v>
      </c>
      <c r="I32" s="8" t="s">
        <v>176</v>
      </c>
      <c r="J32" s="5" t="s">
        <v>250</v>
      </c>
      <c r="K32" s="13" t="s">
        <v>164</v>
      </c>
      <c r="L32" s="8" t="s">
        <v>30</v>
      </c>
      <c r="M32" s="8" t="s">
        <v>223</v>
      </c>
      <c r="N32" s="4"/>
    </row>
    <row r="33" customFormat="false" ht="29.25" hidden="false" customHeight="true" outlineLevel="0" collapsed="false">
      <c r="A33" s="13" t="s">
        <v>115</v>
      </c>
      <c r="B33" s="17" t="s">
        <v>96</v>
      </c>
      <c r="C33" s="13" t="s">
        <v>89</v>
      </c>
      <c r="D33" s="8" t="s">
        <v>37</v>
      </c>
      <c r="E33" s="4" t="s">
        <v>38</v>
      </c>
      <c r="F33" s="8" t="s">
        <v>29</v>
      </c>
      <c r="G33" s="8" t="s">
        <v>251</v>
      </c>
      <c r="H33" s="21" t="s">
        <v>175</v>
      </c>
      <c r="I33" s="8" t="s">
        <v>176</v>
      </c>
      <c r="J33" s="5" t="s">
        <v>252</v>
      </c>
      <c r="K33" s="13" t="s">
        <v>164</v>
      </c>
      <c r="L33" s="8" t="s">
        <v>30</v>
      </c>
      <c r="M33" s="8" t="s">
        <v>223</v>
      </c>
      <c r="N33" s="23" t="s">
        <v>253</v>
      </c>
    </row>
    <row r="34" customFormat="false" ht="57.75" hidden="false" customHeight="true" outlineLevel="0" collapsed="false">
      <c r="A34" s="13" t="s">
        <v>94</v>
      </c>
      <c r="B34" s="17" t="s">
        <v>96</v>
      </c>
      <c r="C34" s="13"/>
      <c r="D34" s="8" t="s">
        <v>39</v>
      </c>
      <c r="E34" s="4" t="s">
        <v>40</v>
      </c>
      <c r="F34" s="8" t="s">
        <v>29</v>
      </c>
      <c r="G34" s="8" t="s">
        <v>254</v>
      </c>
      <c r="H34" s="13" t="s">
        <v>161</v>
      </c>
      <c r="I34" s="8" t="s">
        <v>169</v>
      </c>
      <c r="J34" s="5" t="s">
        <v>255</v>
      </c>
      <c r="K34" s="13" t="s">
        <v>171</v>
      </c>
      <c r="L34" s="8" t="s">
        <v>30</v>
      </c>
      <c r="M34" s="8" t="s">
        <v>256</v>
      </c>
      <c r="N34" s="23" t="s">
        <v>257</v>
      </c>
    </row>
    <row r="35" customFormat="false" ht="29.25" hidden="false" customHeight="true" outlineLevel="0" collapsed="false">
      <c r="A35" s="13" t="s">
        <v>94</v>
      </c>
      <c r="B35" s="17" t="s">
        <v>96</v>
      </c>
      <c r="C35" s="13"/>
      <c r="D35" s="8" t="s">
        <v>39</v>
      </c>
      <c r="E35" s="4" t="s">
        <v>40</v>
      </c>
      <c r="F35" s="8" t="s">
        <v>29</v>
      </c>
      <c r="G35" s="8" t="s">
        <v>258</v>
      </c>
      <c r="H35" s="13" t="s">
        <v>161</v>
      </c>
      <c r="I35" s="8" t="s">
        <v>169</v>
      </c>
      <c r="J35" s="5" t="s">
        <v>259</v>
      </c>
      <c r="K35" s="13" t="s">
        <v>171</v>
      </c>
      <c r="L35" s="8" t="s">
        <v>30</v>
      </c>
      <c r="M35" s="8" t="s">
        <v>256</v>
      </c>
      <c r="N35" s="4"/>
    </row>
    <row r="36" customFormat="false" ht="29.25" hidden="false" customHeight="true" outlineLevel="0" collapsed="false">
      <c r="A36" s="13" t="s">
        <v>94</v>
      </c>
      <c r="B36" s="17" t="s">
        <v>96</v>
      </c>
      <c r="C36" s="13"/>
      <c r="D36" s="8" t="s">
        <v>39</v>
      </c>
      <c r="E36" s="4" t="s">
        <v>40</v>
      </c>
      <c r="F36" s="8" t="s">
        <v>29</v>
      </c>
      <c r="G36" s="8" t="s">
        <v>260</v>
      </c>
      <c r="H36" s="13" t="s">
        <v>161</v>
      </c>
      <c r="I36" s="8" t="s">
        <v>169</v>
      </c>
      <c r="J36" s="5" t="s">
        <v>261</v>
      </c>
      <c r="K36" s="13" t="s">
        <v>171</v>
      </c>
      <c r="L36" s="8" t="s">
        <v>30</v>
      </c>
      <c r="M36" s="8" t="s">
        <v>256</v>
      </c>
      <c r="N36" s="4"/>
    </row>
    <row r="37" customFormat="false" ht="114.75" hidden="false" customHeight="true" outlineLevel="0" collapsed="false">
      <c r="A37" s="13" t="s">
        <v>98</v>
      </c>
      <c r="B37" s="16" t="s">
        <v>92</v>
      </c>
      <c r="C37" s="13"/>
      <c r="D37" s="8" t="s">
        <v>39</v>
      </c>
      <c r="E37" s="4" t="s">
        <v>40</v>
      </c>
      <c r="F37" s="8" t="s">
        <v>29</v>
      </c>
      <c r="G37" s="8" t="s">
        <v>262</v>
      </c>
      <c r="H37" s="13" t="s">
        <v>161</v>
      </c>
      <c r="I37" s="8" t="s">
        <v>169</v>
      </c>
      <c r="J37" s="5" t="s">
        <v>263</v>
      </c>
      <c r="K37" s="13" t="s">
        <v>171</v>
      </c>
      <c r="L37" s="8" t="s">
        <v>30</v>
      </c>
      <c r="M37" s="8" t="s">
        <v>256</v>
      </c>
      <c r="N37" s="23" t="s">
        <v>264</v>
      </c>
    </row>
    <row r="38" customFormat="false" ht="43.5" hidden="false" customHeight="true" outlineLevel="0" collapsed="false">
      <c r="A38" s="13" t="s">
        <v>98</v>
      </c>
      <c r="B38" s="16" t="s">
        <v>92</v>
      </c>
      <c r="C38" s="13"/>
      <c r="D38" s="8" t="s">
        <v>39</v>
      </c>
      <c r="E38" s="4" t="s">
        <v>40</v>
      </c>
      <c r="F38" s="8" t="s">
        <v>29</v>
      </c>
      <c r="G38" s="8" t="s">
        <v>265</v>
      </c>
      <c r="H38" s="13" t="s">
        <v>161</v>
      </c>
      <c r="I38" s="8" t="s">
        <v>169</v>
      </c>
      <c r="J38" s="5" t="s">
        <v>266</v>
      </c>
      <c r="K38" s="13" t="s">
        <v>171</v>
      </c>
      <c r="L38" s="8" t="s">
        <v>30</v>
      </c>
      <c r="M38" s="8" t="s">
        <v>256</v>
      </c>
      <c r="N38" s="4"/>
    </row>
    <row r="39" customFormat="false" ht="29.25" hidden="false" customHeight="true" outlineLevel="0" collapsed="false">
      <c r="A39" s="13" t="s">
        <v>98</v>
      </c>
      <c r="B39" s="16" t="s">
        <v>92</v>
      </c>
      <c r="C39" s="13"/>
      <c r="D39" s="8" t="s">
        <v>39</v>
      </c>
      <c r="E39" s="4" t="s">
        <v>40</v>
      </c>
      <c r="F39" s="8" t="s">
        <v>29</v>
      </c>
      <c r="G39" s="8" t="s">
        <v>267</v>
      </c>
      <c r="H39" s="13" t="s">
        <v>161</v>
      </c>
      <c r="I39" s="8" t="s">
        <v>169</v>
      </c>
      <c r="J39" s="5" t="s">
        <v>268</v>
      </c>
      <c r="K39" s="13" t="s">
        <v>171</v>
      </c>
      <c r="L39" s="8" t="s">
        <v>30</v>
      </c>
      <c r="M39" s="8" t="s">
        <v>256</v>
      </c>
      <c r="N39" s="4"/>
    </row>
    <row r="40" customFormat="false" ht="29.25" hidden="false" customHeight="true" outlineLevel="0" collapsed="false">
      <c r="A40" s="13" t="s">
        <v>98</v>
      </c>
      <c r="B40" s="16" t="s">
        <v>92</v>
      </c>
      <c r="C40" s="13"/>
      <c r="D40" s="8" t="s">
        <v>39</v>
      </c>
      <c r="E40" s="4" t="s">
        <v>40</v>
      </c>
      <c r="F40" s="8" t="s">
        <v>29</v>
      </c>
      <c r="G40" s="8" t="s">
        <v>269</v>
      </c>
      <c r="H40" s="13" t="s">
        <v>161</v>
      </c>
      <c r="I40" s="8" t="s">
        <v>169</v>
      </c>
      <c r="J40" s="5" t="s">
        <v>270</v>
      </c>
      <c r="K40" s="13" t="s">
        <v>171</v>
      </c>
      <c r="L40" s="8" t="s">
        <v>30</v>
      </c>
      <c r="M40" s="8" t="s">
        <v>256</v>
      </c>
      <c r="N40" s="22" t="s">
        <v>271</v>
      </c>
    </row>
    <row r="41" customFormat="false" ht="29.25" hidden="false" customHeight="true" outlineLevel="0" collapsed="false">
      <c r="A41" s="13" t="s">
        <v>94</v>
      </c>
      <c r="B41" s="17" t="s">
        <v>96</v>
      </c>
      <c r="C41" s="13"/>
      <c r="D41" s="8" t="s">
        <v>39</v>
      </c>
      <c r="E41" s="4" t="s">
        <v>40</v>
      </c>
      <c r="F41" s="8" t="s">
        <v>29</v>
      </c>
      <c r="G41" s="8" t="s">
        <v>272</v>
      </c>
      <c r="H41" s="21" t="s">
        <v>175</v>
      </c>
      <c r="I41" s="8" t="s">
        <v>176</v>
      </c>
      <c r="J41" s="5" t="s">
        <v>273</v>
      </c>
      <c r="K41" s="13" t="s">
        <v>171</v>
      </c>
      <c r="L41" s="8" t="s">
        <v>30</v>
      </c>
      <c r="M41" s="8" t="s">
        <v>256</v>
      </c>
      <c r="N41" s="4"/>
    </row>
    <row r="42" customFormat="false" ht="29.25" hidden="false" customHeight="true" outlineLevel="0" collapsed="false">
      <c r="A42" s="13" t="s">
        <v>98</v>
      </c>
      <c r="B42" s="16" t="s">
        <v>92</v>
      </c>
      <c r="C42" s="13"/>
      <c r="D42" s="8" t="s">
        <v>39</v>
      </c>
      <c r="E42" s="4" t="s">
        <v>40</v>
      </c>
      <c r="F42" s="8" t="s">
        <v>29</v>
      </c>
      <c r="G42" s="8" t="s">
        <v>274</v>
      </c>
      <c r="H42" s="21" t="s">
        <v>175</v>
      </c>
      <c r="I42" s="8" t="s">
        <v>176</v>
      </c>
      <c r="J42" s="5" t="s">
        <v>275</v>
      </c>
      <c r="K42" s="13" t="s">
        <v>171</v>
      </c>
      <c r="L42" s="8" t="s">
        <v>30</v>
      </c>
      <c r="M42" s="8" t="s">
        <v>256</v>
      </c>
      <c r="N42" s="4"/>
    </row>
    <row r="43" customFormat="false" ht="43.5" hidden="false" customHeight="true" outlineLevel="0" collapsed="false">
      <c r="A43" s="13" t="s">
        <v>101</v>
      </c>
      <c r="B43" s="15" t="s">
        <v>89</v>
      </c>
      <c r="C43" s="13" t="s">
        <v>92</v>
      </c>
      <c r="D43" s="8" t="s">
        <v>41</v>
      </c>
      <c r="E43" s="4" t="s">
        <v>42</v>
      </c>
      <c r="F43" s="8" t="s">
        <v>29</v>
      </c>
      <c r="G43" s="8" t="s">
        <v>276</v>
      </c>
      <c r="H43" s="13" t="s">
        <v>161</v>
      </c>
      <c r="I43" s="8" t="s">
        <v>162</v>
      </c>
      <c r="J43" s="5" t="s">
        <v>277</v>
      </c>
      <c r="K43" s="13" t="s">
        <v>164</v>
      </c>
      <c r="L43" s="8" t="s">
        <v>30</v>
      </c>
      <c r="M43" s="8" t="s">
        <v>278</v>
      </c>
      <c r="N43" s="23" t="s">
        <v>279</v>
      </c>
    </row>
    <row r="44" customFormat="false" ht="29.25" hidden="false" customHeight="true" outlineLevel="0" collapsed="false">
      <c r="A44" s="13" t="s">
        <v>101</v>
      </c>
      <c r="B44" s="15" t="s">
        <v>89</v>
      </c>
      <c r="C44" s="13"/>
      <c r="D44" s="8" t="s">
        <v>41</v>
      </c>
      <c r="E44" s="4" t="s">
        <v>42</v>
      </c>
      <c r="F44" s="8" t="s">
        <v>29</v>
      </c>
      <c r="G44" s="8" t="s">
        <v>280</v>
      </c>
      <c r="H44" s="13" t="s">
        <v>161</v>
      </c>
      <c r="I44" s="8" t="s">
        <v>169</v>
      </c>
      <c r="J44" s="5" t="s">
        <v>281</v>
      </c>
      <c r="K44" s="13" t="s">
        <v>171</v>
      </c>
      <c r="L44" s="8" t="s">
        <v>30</v>
      </c>
      <c r="M44" s="8" t="s">
        <v>278</v>
      </c>
      <c r="N44" s="4"/>
    </row>
    <row r="45" customFormat="false" ht="29.25" hidden="false" customHeight="true" outlineLevel="0" collapsed="false">
      <c r="A45" s="13" t="s">
        <v>101</v>
      </c>
      <c r="B45" s="15" t="s">
        <v>89</v>
      </c>
      <c r="C45" s="13"/>
      <c r="D45" s="8" t="s">
        <v>41</v>
      </c>
      <c r="E45" s="4" t="s">
        <v>42</v>
      </c>
      <c r="F45" s="8" t="s">
        <v>29</v>
      </c>
      <c r="G45" s="8" t="s">
        <v>282</v>
      </c>
      <c r="H45" s="13" t="s">
        <v>161</v>
      </c>
      <c r="I45" s="8" t="s">
        <v>162</v>
      </c>
      <c r="J45" s="5" t="s">
        <v>283</v>
      </c>
      <c r="K45" s="13" t="s">
        <v>284</v>
      </c>
      <c r="L45" s="8" t="s">
        <v>30</v>
      </c>
      <c r="M45" s="8" t="s">
        <v>278</v>
      </c>
      <c r="N45" s="4"/>
    </row>
    <row r="46" customFormat="false" ht="43.5" hidden="false" customHeight="true" outlineLevel="0" collapsed="false">
      <c r="A46" s="13" t="s">
        <v>101</v>
      </c>
      <c r="B46" s="15" t="s">
        <v>89</v>
      </c>
      <c r="C46" s="13"/>
      <c r="D46" s="8" t="s">
        <v>41</v>
      </c>
      <c r="E46" s="4" t="s">
        <v>42</v>
      </c>
      <c r="F46" s="8" t="s">
        <v>47</v>
      </c>
      <c r="G46" s="8" t="s">
        <v>285</v>
      </c>
      <c r="H46" s="13" t="s">
        <v>161</v>
      </c>
      <c r="I46" s="8" t="s">
        <v>162</v>
      </c>
      <c r="J46" s="5" t="s">
        <v>286</v>
      </c>
      <c r="K46" s="13" t="s">
        <v>284</v>
      </c>
      <c r="L46" s="8" t="s">
        <v>48</v>
      </c>
      <c r="M46" s="8" t="s">
        <v>278</v>
      </c>
      <c r="N46" s="23" t="s">
        <v>287</v>
      </c>
    </row>
    <row r="47" customFormat="false" ht="29.25" hidden="false" customHeight="true" outlineLevel="0" collapsed="false">
      <c r="A47" s="13" t="s">
        <v>101</v>
      </c>
      <c r="B47" s="15" t="s">
        <v>89</v>
      </c>
      <c r="C47" s="13"/>
      <c r="D47" s="8" t="s">
        <v>41</v>
      </c>
      <c r="E47" s="4" t="s">
        <v>42</v>
      </c>
      <c r="F47" s="8" t="s">
        <v>29</v>
      </c>
      <c r="G47" s="8" t="s">
        <v>288</v>
      </c>
      <c r="H47" s="13" t="s">
        <v>161</v>
      </c>
      <c r="I47" s="8" t="s">
        <v>169</v>
      </c>
      <c r="J47" s="5" t="s">
        <v>289</v>
      </c>
      <c r="K47" s="13" t="s">
        <v>284</v>
      </c>
      <c r="L47" s="8" t="s">
        <v>30</v>
      </c>
      <c r="M47" s="8" t="s">
        <v>278</v>
      </c>
      <c r="N47" s="4"/>
    </row>
    <row r="48" customFormat="false" ht="43.5" hidden="false" customHeight="true" outlineLevel="0" collapsed="false">
      <c r="A48" s="13" t="s">
        <v>101</v>
      </c>
      <c r="B48" s="15" t="s">
        <v>89</v>
      </c>
      <c r="C48" s="13"/>
      <c r="D48" s="8" t="s">
        <v>41</v>
      </c>
      <c r="E48" s="4" t="s">
        <v>42</v>
      </c>
      <c r="F48" s="8" t="s">
        <v>29</v>
      </c>
      <c r="G48" s="8" t="s">
        <v>290</v>
      </c>
      <c r="H48" s="13" t="s">
        <v>161</v>
      </c>
      <c r="I48" s="8" t="s">
        <v>162</v>
      </c>
      <c r="J48" s="5" t="s">
        <v>291</v>
      </c>
      <c r="K48" s="13" t="s">
        <v>164</v>
      </c>
      <c r="L48" s="8" t="s">
        <v>30</v>
      </c>
      <c r="M48" s="8" t="s">
        <v>278</v>
      </c>
      <c r="N48" s="23" t="s">
        <v>292</v>
      </c>
    </row>
    <row r="49" customFormat="false" ht="29.25" hidden="false" customHeight="true" outlineLevel="0" collapsed="false">
      <c r="A49" s="13" t="s">
        <v>101</v>
      </c>
      <c r="B49" s="15" t="s">
        <v>89</v>
      </c>
      <c r="C49" s="13" t="s">
        <v>92</v>
      </c>
      <c r="D49" s="8" t="s">
        <v>41</v>
      </c>
      <c r="E49" s="4" t="s">
        <v>42</v>
      </c>
      <c r="F49" s="8" t="s">
        <v>47</v>
      </c>
      <c r="G49" s="8" t="s">
        <v>293</v>
      </c>
      <c r="H49" s="21" t="s">
        <v>175</v>
      </c>
      <c r="I49" s="8" t="s">
        <v>176</v>
      </c>
      <c r="J49" s="5" t="s">
        <v>294</v>
      </c>
      <c r="K49" s="13" t="s">
        <v>164</v>
      </c>
      <c r="L49" s="8" t="s">
        <v>48</v>
      </c>
      <c r="M49" s="8" t="s">
        <v>278</v>
      </c>
      <c r="N49" s="4"/>
    </row>
    <row r="50" customFormat="false" ht="43.5" hidden="false" customHeight="true" outlineLevel="0" collapsed="false">
      <c r="A50" s="13" t="s">
        <v>104</v>
      </c>
      <c r="B50" s="14" t="s">
        <v>79</v>
      </c>
      <c r="C50" s="13" t="s">
        <v>89</v>
      </c>
      <c r="D50" s="8" t="s">
        <v>43</v>
      </c>
      <c r="E50" s="4" t="s">
        <v>44</v>
      </c>
      <c r="F50" s="8" t="s">
        <v>29</v>
      </c>
      <c r="G50" s="8" t="s">
        <v>295</v>
      </c>
      <c r="H50" s="13" t="s">
        <v>161</v>
      </c>
      <c r="I50" s="8" t="s">
        <v>162</v>
      </c>
      <c r="J50" s="5" t="s">
        <v>296</v>
      </c>
      <c r="K50" s="13" t="s">
        <v>164</v>
      </c>
      <c r="L50" s="8" t="s">
        <v>30</v>
      </c>
      <c r="M50" s="8" t="s">
        <v>297</v>
      </c>
      <c r="N50" s="23" t="s">
        <v>298</v>
      </c>
    </row>
    <row r="51" customFormat="false" ht="43.5" hidden="false" customHeight="true" outlineLevel="0" collapsed="false">
      <c r="A51" s="13" t="s">
        <v>104</v>
      </c>
      <c r="B51" s="14" t="s">
        <v>79</v>
      </c>
      <c r="C51" s="13"/>
      <c r="D51" s="8" t="s">
        <v>43</v>
      </c>
      <c r="E51" s="4" t="s">
        <v>44</v>
      </c>
      <c r="F51" s="8" t="s">
        <v>29</v>
      </c>
      <c r="G51" s="8" t="s">
        <v>299</v>
      </c>
      <c r="H51" s="13" t="s">
        <v>161</v>
      </c>
      <c r="I51" s="8" t="s">
        <v>169</v>
      </c>
      <c r="J51" s="5" t="s">
        <v>300</v>
      </c>
      <c r="K51" s="13" t="s">
        <v>171</v>
      </c>
      <c r="L51" s="8" t="s">
        <v>30</v>
      </c>
      <c r="M51" s="8" t="s">
        <v>297</v>
      </c>
      <c r="N51" s="23" t="s">
        <v>301</v>
      </c>
    </row>
    <row r="52" customFormat="false" ht="43.5" hidden="false" customHeight="true" outlineLevel="0" collapsed="false">
      <c r="A52" s="13" t="s">
        <v>104</v>
      </c>
      <c r="B52" s="14" t="s">
        <v>79</v>
      </c>
      <c r="C52" s="13" t="s">
        <v>89</v>
      </c>
      <c r="D52" s="8" t="s">
        <v>43</v>
      </c>
      <c r="E52" s="4" t="s">
        <v>44</v>
      </c>
      <c r="F52" s="8" t="s">
        <v>29</v>
      </c>
      <c r="G52" s="8" t="s">
        <v>302</v>
      </c>
      <c r="H52" s="13" t="s">
        <v>161</v>
      </c>
      <c r="I52" s="8" t="s">
        <v>162</v>
      </c>
      <c r="J52" s="5" t="s">
        <v>303</v>
      </c>
      <c r="K52" s="13" t="s">
        <v>164</v>
      </c>
      <c r="L52" s="8" t="s">
        <v>30</v>
      </c>
      <c r="M52" s="8" t="s">
        <v>297</v>
      </c>
      <c r="N52" s="23" t="s">
        <v>304</v>
      </c>
    </row>
    <row r="53" customFormat="false" ht="29.25" hidden="false" customHeight="true" outlineLevel="0" collapsed="false">
      <c r="A53" s="13" t="s">
        <v>104</v>
      </c>
      <c r="B53" s="14" t="s">
        <v>79</v>
      </c>
      <c r="C53" s="13"/>
      <c r="D53" s="8" t="s">
        <v>43</v>
      </c>
      <c r="E53" s="4" t="s">
        <v>44</v>
      </c>
      <c r="F53" s="8" t="s">
        <v>29</v>
      </c>
      <c r="G53" s="8" t="s">
        <v>305</v>
      </c>
      <c r="H53" s="13" t="s">
        <v>161</v>
      </c>
      <c r="I53" s="8" t="s">
        <v>169</v>
      </c>
      <c r="J53" s="5" t="s">
        <v>306</v>
      </c>
      <c r="K53" s="13" t="s">
        <v>171</v>
      </c>
      <c r="L53" s="8" t="s">
        <v>30</v>
      </c>
      <c r="M53" s="8" t="s">
        <v>297</v>
      </c>
      <c r="N53" s="4"/>
    </row>
    <row r="54" customFormat="false" ht="57.75" hidden="false" customHeight="true" outlineLevel="0" collapsed="false">
      <c r="A54" s="13" t="s">
        <v>107</v>
      </c>
      <c r="B54" s="17" t="s">
        <v>96</v>
      </c>
      <c r="C54" s="13" t="s">
        <v>79</v>
      </c>
      <c r="D54" s="8" t="s">
        <v>43</v>
      </c>
      <c r="E54" s="4" t="s">
        <v>44</v>
      </c>
      <c r="F54" s="8" t="s">
        <v>29</v>
      </c>
      <c r="G54" s="8" t="s">
        <v>307</v>
      </c>
      <c r="H54" s="13" t="s">
        <v>161</v>
      </c>
      <c r="I54" s="8" t="s">
        <v>169</v>
      </c>
      <c r="J54" s="5" t="s">
        <v>308</v>
      </c>
      <c r="K54" s="13" t="s">
        <v>171</v>
      </c>
      <c r="L54" s="8" t="s">
        <v>30</v>
      </c>
      <c r="M54" s="8" t="s">
        <v>297</v>
      </c>
      <c r="N54" s="23" t="s">
        <v>309</v>
      </c>
    </row>
    <row r="55" customFormat="false" ht="43.5" hidden="false" customHeight="true" outlineLevel="0" collapsed="false">
      <c r="A55" s="13" t="s">
        <v>107</v>
      </c>
      <c r="B55" s="17" t="s">
        <v>96</v>
      </c>
      <c r="C55" s="13" t="s">
        <v>79</v>
      </c>
      <c r="D55" s="8" t="s">
        <v>43</v>
      </c>
      <c r="E55" s="4" t="s">
        <v>44</v>
      </c>
      <c r="F55" s="8" t="s">
        <v>47</v>
      </c>
      <c r="G55" s="8" t="s">
        <v>310</v>
      </c>
      <c r="H55" s="13" t="s">
        <v>161</v>
      </c>
      <c r="I55" s="8" t="s">
        <v>162</v>
      </c>
      <c r="J55" s="5" t="s">
        <v>311</v>
      </c>
      <c r="K55" s="13" t="s">
        <v>171</v>
      </c>
      <c r="L55" s="8" t="s">
        <v>48</v>
      </c>
      <c r="M55" s="8" t="s">
        <v>297</v>
      </c>
      <c r="N55" s="4"/>
    </row>
    <row r="56" customFormat="false" ht="29.25" hidden="false" customHeight="true" outlineLevel="0" collapsed="false">
      <c r="A56" s="13" t="s">
        <v>107</v>
      </c>
      <c r="B56" s="17" t="s">
        <v>96</v>
      </c>
      <c r="C56" s="13" t="s">
        <v>92</v>
      </c>
      <c r="D56" s="8" t="s">
        <v>43</v>
      </c>
      <c r="E56" s="4" t="s">
        <v>44</v>
      </c>
      <c r="F56" s="8" t="s">
        <v>47</v>
      </c>
      <c r="G56" s="8" t="s">
        <v>312</v>
      </c>
      <c r="H56" s="13" t="s">
        <v>161</v>
      </c>
      <c r="I56" s="8" t="s">
        <v>169</v>
      </c>
      <c r="J56" s="5" t="s">
        <v>313</v>
      </c>
      <c r="K56" s="13" t="s">
        <v>171</v>
      </c>
      <c r="L56" s="8" t="s">
        <v>48</v>
      </c>
      <c r="M56" s="8" t="s">
        <v>297</v>
      </c>
      <c r="N56" s="4"/>
    </row>
    <row r="57" customFormat="false" ht="29.25" hidden="false" customHeight="true" outlineLevel="0" collapsed="false">
      <c r="A57" s="13" t="s">
        <v>104</v>
      </c>
      <c r="B57" s="14" t="s">
        <v>79</v>
      </c>
      <c r="C57" s="13"/>
      <c r="D57" s="8" t="s">
        <v>43</v>
      </c>
      <c r="E57" s="4" t="s">
        <v>44</v>
      </c>
      <c r="F57" s="8" t="s">
        <v>29</v>
      </c>
      <c r="G57" s="8" t="s">
        <v>314</v>
      </c>
      <c r="H57" s="21" t="s">
        <v>175</v>
      </c>
      <c r="I57" s="8" t="s">
        <v>176</v>
      </c>
      <c r="J57" s="5" t="s">
        <v>315</v>
      </c>
      <c r="K57" s="13" t="s">
        <v>171</v>
      </c>
      <c r="L57" s="8" t="s">
        <v>30</v>
      </c>
      <c r="M57" s="8" t="s">
        <v>297</v>
      </c>
      <c r="N57" s="4"/>
    </row>
    <row r="58" customFormat="false" ht="43.5" hidden="false" customHeight="true" outlineLevel="0" collapsed="false">
      <c r="A58" s="13" t="s">
        <v>104</v>
      </c>
      <c r="B58" s="14" t="s">
        <v>79</v>
      </c>
      <c r="C58" s="13" t="s">
        <v>89</v>
      </c>
      <c r="D58" s="8" t="s">
        <v>43</v>
      </c>
      <c r="E58" s="4" t="s">
        <v>44</v>
      </c>
      <c r="F58" s="8" t="s">
        <v>29</v>
      </c>
      <c r="G58" s="8" t="s">
        <v>316</v>
      </c>
      <c r="H58" s="21" t="s">
        <v>175</v>
      </c>
      <c r="I58" s="8" t="s">
        <v>176</v>
      </c>
      <c r="J58" s="5" t="s">
        <v>317</v>
      </c>
      <c r="K58" s="13" t="s">
        <v>164</v>
      </c>
      <c r="L58" s="8" t="s">
        <v>30</v>
      </c>
      <c r="M58" s="8" t="s">
        <v>297</v>
      </c>
      <c r="N58" s="22" t="s">
        <v>318</v>
      </c>
    </row>
    <row r="59" customFormat="false" ht="29.25" hidden="false" customHeight="true" outlineLevel="0" collapsed="false">
      <c r="A59" s="13" t="s">
        <v>118</v>
      </c>
      <c r="B59" s="14" t="s">
        <v>79</v>
      </c>
      <c r="C59" s="13" t="s">
        <v>89</v>
      </c>
      <c r="D59" s="8" t="s">
        <v>45</v>
      </c>
      <c r="E59" s="4" t="s">
        <v>46</v>
      </c>
      <c r="F59" s="8" t="s">
        <v>47</v>
      </c>
      <c r="G59" s="8" t="s">
        <v>319</v>
      </c>
      <c r="H59" s="13" t="s">
        <v>161</v>
      </c>
      <c r="I59" s="8" t="s">
        <v>162</v>
      </c>
      <c r="J59" s="5" t="s">
        <v>320</v>
      </c>
      <c r="K59" s="13" t="s">
        <v>164</v>
      </c>
      <c r="L59" s="8" t="s">
        <v>48</v>
      </c>
      <c r="M59" s="8" t="s">
        <v>321</v>
      </c>
      <c r="N59" s="23" t="s">
        <v>322</v>
      </c>
    </row>
    <row r="60" customFormat="false" ht="29.25" hidden="false" customHeight="true" outlineLevel="0" collapsed="false">
      <c r="A60" s="13" t="s">
        <v>118</v>
      </c>
      <c r="B60" s="14" t="s">
        <v>79</v>
      </c>
      <c r="C60" s="13" t="s">
        <v>89</v>
      </c>
      <c r="D60" s="8" t="s">
        <v>45</v>
      </c>
      <c r="E60" s="4" t="s">
        <v>46</v>
      </c>
      <c r="F60" s="8" t="s">
        <v>47</v>
      </c>
      <c r="G60" s="8" t="s">
        <v>323</v>
      </c>
      <c r="H60" s="13" t="s">
        <v>161</v>
      </c>
      <c r="I60" s="8" t="s">
        <v>169</v>
      </c>
      <c r="J60" s="5" t="s">
        <v>324</v>
      </c>
      <c r="K60" s="13" t="s">
        <v>164</v>
      </c>
      <c r="L60" s="8" t="s">
        <v>48</v>
      </c>
      <c r="M60" s="8" t="s">
        <v>321</v>
      </c>
      <c r="N60" s="4"/>
    </row>
    <row r="61" customFormat="false" ht="15.75" hidden="false" customHeight="true" outlineLevel="0" collapsed="false">
      <c r="A61" s="13" t="s">
        <v>118</v>
      </c>
      <c r="B61" s="14" t="s">
        <v>79</v>
      </c>
      <c r="C61" s="13"/>
      <c r="D61" s="8" t="s">
        <v>45</v>
      </c>
      <c r="E61" s="4" t="s">
        <v>46</v>
      </c>
      <c r="F61" s="8" t="s">
        <v>47</v>
      </c>
      <c r="G61" s="8" t="s">
        <v>325</v>
      </c>
      <c r="H61" s="13" t="s">
        <v>161</v>
      </c>
      <c r="I61" s="8" t="s">
        <v>169</v>
      </c>
      <c r="J61" s="5" t="s">
        <v>326</v>
      </c>
      <c r="K61" s="13" t="s">
        <v>171</v>
      </c>
      <c r="L61" s="8" t="s">
        <v>48</v>
      </c>
      <c r="M61" s="8" t="s">
        <v>321</v>
      </c>
      <c r="N61" s="4"/>
    </row>
    <row r="62" customFormat="false" ht="29.25" hidden="false" customHeight="true" outlineLevel="0" collapsed="false">
      <c r="A62" s="13" t="s">
        <v>118</v>
      </c>
      <c r="B62" s="14" t="s">
        <v>79</v>
      </c>
      <c r="C62" s="13" t="s">
        <v>89</v>
      </c>
      <c r="D62" s="8" t="s">
        <v>45</v>
      </c>
      <c r="E62" s="4" t="s">
        <v>46</v>
      </c>
      <c r="F62" s="8" t="s">
        <v>47</v>
      </c>
      <c r="G62" s="8" t="s">
        <v>327</v>
      </c>
      <c r="H62" s="13" t="s">
        <v>161</v>
      </c>
      <c r="I62" s="8" t="s">
        <v>162</v>
      </c>
      <c r="J62" s="5" t="s">
        <v>328</v>
      </c>
      <c r="K62" s="13" t="s">
        <v>164</v>
      </c>
      <c r="L62" s="8" t="s">
        <v>48</v>
      </c>
      <c r="M62" s="8" t="s">
        <v>321</v>
      </c>
      <c r="N62" s="23" t="s">
        <v>329</v>
      </c>
    </row>
    <row r="63" customFormat="false" ht="29.25" hidden="false" customHeight="true" outlineLevel="0" collapsed="false">
      <c r="A63" s="13" t="s">
        <v>118</v>
      </c>
      <c r="B63" s="14" t="s">
        <v>79</v>
      </c>
      <c r="C63" s="13" t="s">
        <v>89</v>
      </c>
      <c r="D63" s="8" t="s">
        <v>45</v>
      </c>
      <c r="E63" s="4" t="s">
        <v>46</v>
      </c>
      <c r="F63" s="8" t="s">
        <v>47</v>
      </c>
      <c r="G63" s="8" t="s">
        <v>330</v>
      </c>
      <c r="H63" s="21" t="s">
        <v>175</v>
      </c>
      <c r="I63" s="8" t="s">
        <v>176</v>
      </c>
      <c r="J63" s="5" t="s">
        <v>331</v>
      </c>
      <c r="K63" s="13" t="s">
        <v>164</v>
      </c>
      <c r="L63" s="8" t="s">
        <v>48</v>
      </c>
      <c r="M63" s="8" t="s">
        <v>321</v>
      </c>
      <c r="N63" s="4"/>
    </row>
    <row r="64" customFormat="false" ht="29.25" hidden="false" customHeight="true" outlineLevel="0" collapsed="false">
      <c r="A64" s="13" t="s">
        <v>118</v>
      </c>
      <c r="B64" s="14" t="s">
        <v>79</v>
      </c>
      <c r="C64" s="13" t="s">
        <v>89</v>
      </c>
      <c r="D64" s="8" t="s">
        <v>45</v>
      </c>
      <c r="E64" s="4" t="s">
        <v>46</v>
      </c>
      <c r="F64" s="8" t="s">
        <v>47</v>
      </c>
      <c r="G64" s="8" t="s">
        <v>332</v>
      </c>
      <c r="H64" s="21" t="s">
        <v>175</v>
      </c>
      <c r="I64" s="8" t="s">
        <v>176</v>
      </c>
      <c r="J64" s="5" t="s">
        <v>333</v>
      </c>
      <c r="K64" s="13" t="s">
        <v>164</v>
      </c>
      <c r="L64" s="8" t="s">
        <v>48</v>
      </c>
      <c r="M64" s="8" t="s">
        <v>321</v>
      </c>
      <c r="N64" s="23" t="s">
        <v>334</v>
      </c>
    </row>
    <row r="65" customFormat="false" ht="43.5" hidden="false" customHeight="true" outlineLevel="0" collapsed="false">
      <c r="A65" s="13" t="s">
        <v>121</v>
      </c>
      <c r="B65" s="16" t="s">
        <v>92</v>
      </c>
      <c r="C65" s="13" t="s">
        <v>89</v>
      </c>
      <c r="D65" s="8" t="s">
        <v>49</v>
      </c>
      <c r="E65" s="4" t="s">
        <v>50</v>
      </c>
      <c r="F65" s="8" t="s">
        <v>47</v>
      </c>
      <c r="G65" s="8" t="s">
        <v>335</v>
      </c>
      <c r="H65" s="13" t="s">
        <v>161</v>
      </c>
      <c r="I65" s="8" t="s">
        <v>162</v>
      </c>
      <c r="J65" s="5" t="s">
        <v>336</v>
      </c>
      <c r="K65" s="13" t="s">
        <v>164</v>
      </c>
      <c r="L65" s="8" t="s">
        <v>48</v>
      </c>
      <c r="M65" s="8" t="s">
        <v>337</v>
      </c>
      <c r="N65" s="4"/>
    </row>
    <row r="66" customFormat="false" ht="43.5" hidden="false" customHeight="true" outlineLevel="0" collapsed="false">
      <c r="A66" s="13" t="s">
        <v>121</v>
      </c>
      <c r="B66" s="16" t="s">
        <v>92</v>
      </c>
      <c r="C66" s="13" t="s">
        <v>89</v>
      </c>
      <c r="D66" s="8" t="s">
        <v>49</v>
      </c>
      <c r="E66" s="4" t="s">
        <v>50</v>
      </c>
      <c r="F66" s="8" t="s">
        <v>47</v>
      </c>
      <c r="G66" s="8" t="s">
        <v>338</v>
      </c>
      <c r="H66" s="13" t="s">
        <v>161</v>
      </c>
      <c r="I66" s="8" t="s">
        <v>162</v>
      </c>
      <c r="J66" s="5" t="s">
        <v>339</v>
      </c>
      <c r="K66" s="13" t="s">
        <v>164</v>
      </c>
      <c r="L66" s="8" t="s">
        <v>48</v>
      </c>
      <c r="M66" s="8" t="s">
        <v>337</v>
      </c>
      <c r="N66" s="23" t="s">
        <v>340</v>
      </c>
    </row>
    <row r="67" customFormat="false" ht="43.5" hidden="false" customHeight="true" outlineLevel="0" collapsed="false">
      <c r="A67" s="13" t="s">
        <v>121</v>
      </c>
      <c r="B67" s="16" t="s">
        <v>92</v>
      </c>
      <c r="C67" s="13" t="s">
        <v>341</v>
      </c>
      <c r="D67" s="8" t="s">
        <v>49</v>
      </c>
      <c r="E67" s="4" t="s">
        <v>50</v>
      </c>
      <c r="F67" s="8" t="s">
        <v>47</v>
      </c>
      <c r="G67" s="8" t="s">
        <v>342</v>
      </c>
      <c r="H67" s="13" t="s">
        <v>161</v>
      </c>
      <c r="I67" s="8" t="s">
        <v>162</v>
      </c>
      <c r="J67" s="5" t="s">
        <v>343</v>
      </c>
      <c r="K67" s="13" t="s">
        <v>164</v>
      </c>
      <c r="L67" s="8" t="s">
        <v>48</v>
      </c>
      <c r="M67" s="8" t="s">
        <v>337</v>
      </c>
      <c r="N67" s="22" t="s">
        <v>344</v>
      </c>
    </row>
    <row r="68" customFormat="false" ht="29.25" hidden="false" customHeight="true" outlineLevel="0" collapsed="false">
      <c r="A68" s="13" t="s">
        <v>121</v>
      </c>
      <c r="B68" s="16" t="s">
        <v>92</v>
      </c>
      <c r="C68" s="13"/>
      <c r="D68" s="8" t="s">
        <v>49</v>
      </c>
      <c r="E68" s="4" t="s">
        <v>50</v>
      </c>
      <c r="F68" s="8" t="s">
        <v>47</v>
      </c>
      <c r="G68" s="8" t="s">
        <v>345</v>
      </c>
      <c r="H68" s="13" t="s">
        <v>161</v>
      </c>
      <c r="I68" s="8" t="s">
        <v>169</v>
      </c>
      <c r="J68" s="5" t="s">
        <v>346</v>
      </c>
      <c r="K68" s="13" t="s">
        <v>171</v>
      </c>
      <c r="L68" s="8" t="s">
        <v>48</v>
      </c>
      <c r="M68" s="8" t="s">
        <v>337</v>
      </c>
      <c r="N68" s="4"/>
    </row>
    <row r="69" customFormat="false" ht="29.25" hidden="false" customHeight="true" outlineLevel="0" collapsed="false">
      <c r="A69" s="13" t="s">
        <v>121</v>
      </c>
      <c r="B69" s="16" t="s">
        <v>92</v>
      </c>
      <c r="C69" s="13" t="s">
        <v>89</v>
      </c>
      <c r="D69" s="8" t="s">
        <v>49</v>
      </c>
      <c r="E69" s="4" t="s">
        <v>50</v>
      </c>
      <c r="F69" s="8" t="s">
        <v>47</v>
      </c>
      <c r="G69" s="8" t="s">
        <v>347</v>
      </c>
      <c r="H69" s="13" t="s">
        <v>161</v>
      </c>
      <c r="I69" s="8" t="s">
        <v>162</v>
      </c>
      <c r="J69" s="5" t="s">
        <v>348</v>
      </c>
      <c r="K69" s="13" t="s">
        <v>164</v>
      </c>
      <c r="L69" s="8" t="s">
        <v>48</v>
      </c>
      <c r="M69" s="8" t="s">
        <v>337</v>
      </c>
      <c r="N69" s="22" t="s">
        <v>349</v>
      </c>
    </row>
    <row r="70" customFormat="false" ht="57.75" hidden="false" customHeight="true" outlineLevel="0" collapsed="false">
      <c r="A70" s="13" t="s">
        <v>121</v>
      </c>
      <c r="B70" s="16" t="s">
        <v>92</v>
      </c>
      <c r="C70" s="13" t="s">
        <v>89</v>
      </c>
      <c r="D70" s="8" t="s">
        <v>49</v>
      </c>
      <c r="E70" s="4" t="s">
        <v>50</v>
      </c>
      <c r="F70" s="8" t="s">
        <v>47</v>
      </c>
      <c r="G70" s="8" t="s">
        <v>350</v>
      </c>
      <c r="H70" s="13" t="s">
        <v>161</v>
      </c>
      <c r="I70" s="8" t="s">
        <v>162</v>
      </c>
      <c r="J70" s="5" t="s">
        <v>351</v>
      </c>
      <c r="K70" s="13" t="s">
        <v>164</v>
      </c>
      <c r="L70" s="8" t="s">
        <v>48</v>
      </c>
      <c r="M70" s="8" t="s">
        <v>337</v>
      </c>
      <c r="N70" s="23" t="s">
        <v>352</v>
      </c>
    </row>
    <row r="71" customFormat="false" ht="29.25" hidden="false" customHeight="true" outlineLevel="0" collapsed="false">
      <c r="A71" s="13" t="s">
        <v>121</v>
      </c>
      <c r="B71" s="16" t="s">
        <v>92</v>
      </c>
      <c r="C71" s="13" t="s">
        <v>89</v>
      </c>
      <c r="D71" s="8" t="s">
        <v>49</v>
      </c>
      <c r="E71" s="4" t="s">
        <v>50</v>
      </c>
      <c r="F71" s="8" t="s">
        <v>47</v>
      </c>
      <c r="G71" s="8" t="s">
        <v>353</v>
      </c>
      <c r="H71" s="13" t="s">
        <v>161</v>
      </c>
      <c r="I71" s="8" t="s">
        <v>162</v>
      </c>
      <c r="J71" s="5" t="s">
        <v>354</v>
      </c>
      <c r="K71" s="13" t="s">
        <v>164</v>
      </c>
      <c r="L71" s="8" t="s">
        <v>48</v>
      </c>
      <c r="M71" s="8" t="s">
        <v>337</v>
      </c>
      <c r="N71" s="22" t="s">
        <v>355</v>
      </c>
    </row>
    <row r="72" customFormat="false" ht="29.25" hidden="false" customHeight="true" outlineLevel="0" collapsed="false">
      <c r="A72" s="13" t="s">
        <v>121</v>
      </c>
      <c r="B72" s="16" t="s">
        <v>92</v>
      </c>
      <c r="C72" s="13" t="s">
        <v>89</v>
      </c>
      <c r="D72" s="8" t="s">
        <v>49</v>
      </c>
      <c r="E72" s="4" t="s">
        <v>50</v>
      </c>
      <c r="F72" s="8" t="s">
        <v>47</v>
      </c>
      <c r="G72" s="8" t="s">
        <v>356</v>
      </c>
      <c r="H72" s="21" t="s">
        <v>175</v>
      </c>
      <c r="I72" s="8" t="s">
        <v>176</v>
      </c>
      <c r="J72" s="5" t="s">
        <v>357</v>
      </c>
      <c r="K72" s="13" t="s">
        <v>164</v>
      </c>
      <c r="L72" s="8" t="s">
        <v>48</v>
      </c>
      <c r="M72" s="8" t="s">
        <v>337</v>
      </c>
      <c r="N72" s="23" t="s">
        <v>358</v>
      </c>
    </row>
    <row r="73" customFormat="false" ht="43.5" hidden="false" customHeight="true" outlineLevel="0" collapsed="false">
      <c r="A73" s="13" t="s">
        <v>121</v>
      </c>
      <c r="B73" s="16" t="s">
        <v>92</v>
      </c>
      <c r="C73" s="13" t="s">
        <v>89</v>
      </c>
      <c r="D73" s="8" t="s">
        <v>49</v>
      </c>
      <c r="E73" s="4" t="s">
        <v>50</v>
      </c>
      <c r="F73" s="8" t="s">
        <v>47</v>
      </c>
      <c r="G73" s="8" t="s">
        <v>359</v>
      </c>
      <c r="H73" s="21" t="s">
        <v>175</v>
      </c>
      <c r="I73" s="8" t="s">
        <v>176</v>
      </c>
      <c r="J73" s="5" t="s">
        <v>360</v>
      </c>
      <c r="K73" s="13" t="s">
        <v>164</v>
      </c>
      <c r="L73" s="8" t="s">
        <v>48</v>
      </c>
      <c r="M73" s="8" t="s">
        <v>337</v>
      </c>
      <c r="N73" s="23" t="s">
        <v>361</v>
      </c>
    </row>
    <row r="74" customFormat="false" ht="57.75" hidden="false" customHeight="true" outlineLevel="0" collapsed="false">
      <c r="A74" s="13" t="s">
        <v>112</v>
      </c>
      <c r="B74" s="17" t="s">
        <v>96</v>
      </c>
      <c r="C74" s="13" t="s">
        <v>89</v>
      </c>
      <c r="D74" s="8" t="s">
        <v>51</v>
      </c>
      <c r="E74" s="4" t="s">
        <v>52</v>
      </c>
      <c r="F74" s="8" t="s">
        <v>47</v>
      </c>
      <c r="G74" s="8" t="s">
        <v>362</v>
      </c>
      <c r="H74" s="13" t="s">
        <v>161</v>
      </c>
      <c r="I74" s="8" t="s">
        <v>162</v>
      </c>
      <c r="J74" s="5" t="s">
        <v>363</v>
      </c>
      <c r="K74" s="13" t="s">
        <v>164</v>
      </c>
      <c r="L74" s="8" t="s">
        <v>48</v>
      </c>
      <c r="M74" s="8" t="s">
        <v>364</v>
      </c>
      <c r="N74" s="23" t="s">
        <v>365</v>
      </c>
    </row>
    <row r="75" customFormat="false" ht="29.25" hidden="false" customHeight="true" outlineLevel="0" collapsed="false">
      <c r="A75" s="13" t="s">
        <v>112</v>
      </c>
      <c r="B75" s="17" t="s">
        <v>96</v>
      </c>
      <c r="C75" s="13" t="s">
        <v>89</v>
      </c>
      <c r="D75" s="8" t="s">
        <v>51</v>
      </c>
      <c r="E75" s="4" t="s">
        <v>52</v>
      </c>
      <c r="F75" s="8" t="s">
        <v>47</v>
      </c>
      <c r="G75" s="8" t="s">
        <v>366</v>
      </c>
      <c r="H75" s="13" t="s">
        <v>161</v>
      </c>
      <c r="I75" s="8" t="s">
        <v>231</v>
      </c>
      <c r="J75" s="5" t="s">
        <v>367</v>
      </c>
      <c r="K75" s="13" t="s">
        <v>164</v>
      </c>
      <c r="L75" s="8" t="s">
        <v>48</v>
      </c>
      <c r="M75" s="8" t="s">
        <v>364</v>
      </c>
      <c r="N75" s="4"/>
    </row>
    <row r="76" customFormat="false" ht="29.25" hidden="false" customHeight="true" outlineLevel="0" collapsed="false">
      <c r="A76" s="13" t="s">
        <v>112</v>
      </c>
      <c r="B76" s="17" t="s">
        <v>96</v>
      </c>
      <c r="C76" s="13"/>
      <c r="D76" s="8" t="s">
        <v>51</v>
      </c>
      <c r="E76" s="4" t="s">
        <v>52</v>
      </c>
      <c r="F76" s="8" t="s">
        <v>47</v>
      </c>
      <c r="G76" s="8" t="s">
        <v>368</v>
      </c>
      <c r="H76" s="13" t="s">
        <v>161</v>
      </c>
      <c r="I76" s="8" t="s">
        <v>169</v>
      </c>
      <c r="J76" s="5" t="s">
        <v>369</v>
      </c>
      <c r="K76" s="13" t="s">
        <v>171</v>
      </c>
      <c r="L76" s="8" t="s">
        <v>48</v>
      </c>
      <c r="M76" s="8" t="s">
        <v>364</v>
      </c>
      <c r="N76" s="4"/>
    </row>
    <row r="77" customFormat="false" ht="29.25" hidden="false" customHeight="true" outlineLevel="0" collapsed="false">
      <c r="A77" s="13" t="s">
        <v>112</v>
      </c>
      <c r="B77" s="17" t="s">
        <v>96</v>
      </c>
      <c r="C77" s="13" t="s">
        <v>89</v>
      </c>
      <c r="D77" s="8" t="s">
        <v>51</v>
      </c>
      <c r="E77" s="4" t="s">
        <v>52</v>
      </c>
      <c r="F77" s="8" t="s">
        <v>47</v>
      </c>
      <c r="G77" s="8" t="s">
        <v>370</v>
      </c>
      <c r="H77" s="13" t="s">
        <v>161</v>
      </c>
      <c r="I77" s="8" t="s">
        <v>162</v>
      </c>
      <c r="J77" s="5" t="s">
        <v>371</v>
      </c>
      <c r="K77" s="13" t="s">
        <v>284</v>
      </c>
      <c r="L77" s="8" t="s">
        <v>48</v>
      </c>
      <c r="M77" s="8" t="s">
        <v>364</v>
      </c>
      <c r="N77" s="4"/>
    </row>
    <row r="78" customFormat="false" ht="72" hidden="false" customHeight="true" outlineLevel="0" collapsed="false">
      <c r="A78" s="13" t="s">
        <v>112</v>
      </c>
      <c r="B78" s="17" t="s">
        <v>96</v>
      </c>
      <c r="C78" s="13" t="s">
        <v>341</v>
      </c>
      <c r="D78" s="8" t="s">
        <v>51</v>
      </c>
      <c r="E78" s="4" t="s">
        <v>52</v>
      </c>
      <c r="F78" s="8" t="s">
        <v>47</v>
      </c>
      <c r="G78" s="8" t="s">
        <v>372</v>
      </c>
      <c r="H78" s="13" t="s">
        <v>161</v>
      </c>
      <c r="I78" s="8" t="s">
        <v>162</v>
      </c>
      <c r="J78" s="5" t="s">
        <v>373</v>
      </c>
      <c r="K78" s="13" t="s">
        <v>284</v>
      </c>
      <c r="L78" s="8" t="s">
        <v>48</v>
      </c>
      <c r="M78" s="8" t="s">
        <v>364</v>
      </c>
      <c r="N78" s="23" t="s">
        <v>374</v>
      </c>
    </row>
    <row r="79" customFormat="false" ht="72" hidden="false" customHeight="true" outlineLevel="0" collapsed="false">
      <c r="A79" s="13" t="s">
        <v>112</v>
      </c>
      <c r="B79" s="17" t="s">
        <v>96</v>
      </c>
      <c r="C79" s="13" t="s">
        <v>375</v>
      </c>
      <c r="D79" s="8" t="s">
        <v>51</v>
      </c>
      <c r="E79" s="4" t="s">
        <v>52</v>
      </c>
      <c r="F79" s="8" t="s">
        <v>47</v>
      </c>
      <c r="G79" s="8" t="s">
        <v>376</v>
      </c>
      <c r="H79" s="13" t="s">
        <v>161</v>
      </c>
      <c r="I79" s="8" t="s">
        <v>162</v>
      </c>
      <c r="J79" s="5" t="s">
        <v>377</v>
      </c>
      <c r="K79" s="13" t="s">
        <v>284</v>
      </c>
      <c r="L79" s="8" t="s">
        <v>48</v>
      </c>
      <c r="M79" s="8" t="s">
        <v>364</v>
      </c>
      <c r="N79" s="23" t="s">
        <v>378</v>
      </c>
    </row>
    <row r="80" customFormat="false" ht="29.25" hidden="false" customHeight="true" outlineLevel="0" collapsed="false">
      <c r="A80" s="13" t="s">
        <v>112</v>
      </c>
      <c r="B80" s="17" t="s">
        <v>96</v>
      </c>
      <c r="C80" s="13" t="s">
        <v>89</v>
      </c>
      <c r="D80" s="8" t="s">
        <v>51</v>
      </c>
      <c r="E80" s="4" t="s">
        <v>52</v>
      </c>
      <c r="F80" s="8" t="s">
        <v>47</v>
      </c>
      <c r="G80" s="8" t="s">
        <v>379</v>
      </c>
      <c r="H80" s="21" t="s">
        <v>175</v>
      </c>
      <c r="I80" s="8" t="s">
        <v>176</v>
      </c>
      <c r="J80" s="5" t="s">
        <v>380</v>
      </c>
      <c r="K80" s="13" t="s">
        <v>284</v>
      </c>
      <c r="L80" s="8" t="s">
        <v>48</v>
      </c>
      <c r="M80" s="8" t="s">
        <v>364</v>
      </c>
      <c r="N80" s="22" t="s">
        <v>381</v>
      </c>
    </row>
    <row r="81" customFormat="false" ht="43.5" hidden="false" customHeight="true" outlineLevel="0" collapsed="false">
      <c r="A81" s="13" t="s">
        <v>112</v>
      </c>
      <c r="B81" s="17" t="s">
        <v>96</v>
      </c>
      <c r="C81" s="13"/>
      <c r="D81" s="8" t="s">
        <v>51</v>
      </c>
      <c r="E81" s="4" t="s">
        <v>52</v>
      </c>
      <c r="F81" s="8" t="s">
        <v>47</v>
      </c>
      <c r="G81" s="8" t="s">
        <v>382</v>
      </c>
      <c r="H81" s="13" t="s">
        <v>161</v>
      </c>
      <c r="I81" s="8" t="s">
        <v>162</v>
      </c>
      <c r="J81" s="5" t="s">
        <v>383</v>
      </c>
      <c r="K81" s="13" t="s">
        <v>171</v>
      </c>
      <c r="L81" s="8" t="s">
        <v>48</v>
      </c>
      <c r="M81" s="8" t="s">
        <v>364</v>
      </c>
      <c r="N81" s="23" t="s">
        <v>384</v>
      </c>
    </row>
    <row r="82" customFormat="false" ht="29.25" hidden="false" customHeight="true" outlineLevel="0" collapsed="false">
      <c r="A82" s="13" t="s">
        <v>112</v>
      </c>
      <c r="B82" s="17" t="s">
        <v>96</v>
      </c>
      <c r="C82" s="13"/>
      <c r="D82" s="8" t="s">
        <v>51</v>
      </c>
      <c r="E82" s="4" t="s">
        <v>52</v>
      </c>
      <c r="F82" s="8" t="s">
        <v>47</v>
      </c>
      <c r="G82" s="8" t="s">
        <v>385</v>
      </c>
      <c r="H82" s="21" t="s">
        <v>175</v>
      </c>
      <c r="I82" s="8" t="s">
        <v>176</v>
      </c>
      <c r="J82" s="5" t="s">
        <v>386</v>
      </c>
      <c r="K82" s="13" t="s">
        <v>171</v>
      </c>
      <c r="L82" s="8" t="s">
        <v>48</v>
      </c>
      <c r="M82" s="8" t="s">
        <v>364</v>
      </c>
      <c r="N82" s="23" t="s">
        <v>387</v>
      </c>
    </row>
    <row r="83" customFormat="false" ht="29.25" hidden="false" customHeight="true" outlineLevel="0" collapsed="false">
      <c r="A83" s="13" t="s">
        <v>124</v>
      </c>
      <c r="B83" s="15" t="s">
        <v>89</v>
      </c>
      <c r="C83" s="13"/>
      <c r="D83" s="8" t="s">
        <v>53</v>
      </c>
      <c r="E83" s="4" t="s">
        <v>54</v>
      </c>
      <c r="F83" s="8" t="s">
        <v>29</v>
      </c>
      <c r="G83" s="8" t="s">
        <v>388</v>
      </c>
      <c r="H83" s="13" t="s">
        <v>161</v>
      </c>
      <c r="I83" s="8" t="s">
        <v>162</v>
      </c>
      <c r="J83" s="5" t="s">
        <v>389</v>
      </c>
      <c r="K83" s="13" t="s">
        <v>164</v>
      </c>
      <c r="L83" s="8" t="s">
        <v>30</v>
      </c>
      <c r="M83" s="8" t="s">
        <v>390</v>
      </c>
      <c r="N83" s="4"/>
    </row>
    <row r="84" customFormat="false" ht="43.5" hidden="false" customHeight="true" outlineLevel="0" collapsed="false">
      <c r="A84" s="13" t="s">
        <v>124</v>
      </c>
      <c r="B84" s="15" t="s">
        <v>89</v>
      </c>
      <c r="C84" s="13"/>
      <c r="D84" s="8" t="s">
        <v>53</v>
      </c>
      <c r="E84" s="4" t="s">
        <v>54</v>
      </c>
      <c r="F84" s="8" t="s">
        <v>29</v>
      </c>
      <c r="G84" s="8" t="s">
        <v>391</v>
      </c>
      <c r="H84" s="13" t="s">
        <v>161</v>
      </c>
      <c r="I84" s="8" t="s">
        <v>162</v>
      </c>
      <c r="J84" s="5" t="s">
        <v>392</v>
      </c>
      <c r="K84" s="13" t="s">
        <v>164</v>
      </c>
      <c r="L84" s="8" t="s">
        <v>30</v>
      </c>
      <c r="M84" s="8" t="s">
        <v>390</v>
      </c>
      <c r="N84" s="23" t="s">
        <v>393</v>
      </c>
    </row>
    <row r="85" customFormat="false" ht="29.25" hidden="false" customHeight="true" outlineLevel="0" collapsed="false">
      <c r="A85" s="13" t="s">
        <v>124</v>
      </c>
      <c r="B85" s="15" t="s">
        <v>89</v>
      </c>
      <c r="C85" s="13"/>
      <c r="D85" s="8" t="s">
        <v>53</v>
      </c>
      <c r="E85" s="4" t="s">
        <v>54</v>
      </c>
      <c r="F85" s="8" t="s">
        <v>29</v>
      </c>
      <c r="G85" s="8" t="s">
        <v>394</v>
      </c>
      <c r="H85" s="13" t="s">
        <v>161</v>
      </c>
      <c r="I85" s="8" t="s">
        <v>169</v>
      </c>
      <c r="J85" s="5" t="s">
        <v>395</v>
      </c>
      <c r="K85" s="13" t="s">
        <v>164</v>
      </c>
      <c r="L85" s="8" t="s">
        <v>30</v>
      </c>
      <c r="M85" s="8" t="s">
        <v>390</v>
      </c>
      <c r="N85" s="4"/>
    </row>
    <row r="86" customFormat="false" ht="29.25" hidden="false" customHeight="true" outlineLevel="0" collapsed="false">
      <c r="A86" s="13" t="s">
        <v>124</v>
      </c>
      <c r="B86" s="15" t="s">
        <v>89</v>
      </c>
      <c r="C86" s="13"/>
      <c r="D86" s="8" t="s">
        <v>53</v>
      </c>
      <c r="E86" s="4" t="s">
        <v>54</v>
      </c>
      <c r="F86" s="8" t="s">
        <v>29</v>
      </c>
      <c r="G86" s="8" t="s">
        <v>396</v>
      </c>
      <c r="H86" s="13" t="s">
        <v>161</v>
      </c>
      <c r="I86" s="8" t="s">
        <v>169</v>
      </c>
      <c r="J86" s="5" t="s">
        <v>397</v>
      </c>
      <c r="K86" s="13" t="s">
        <v>171</v>
      </c>
      <c r="L86" s="8" t="s">
        <v>30</v>
      </c>
      <c r="M86" s="8" t="s">
        <v>390</v>
      </c>
      <c r="N86" s="4"/>
    </row>
    <row r="87" customFormat="false" ht="29.25" hidden="false" customHeight="true" outlineLevel="0" collapsed="false">
      <c r="A87" s="13" t="s">
        <v>124</v>
      </c>
      <c r="B87" s="15" t="s">
        <v>89</v>
      </c>
      <c r="C87" s="13"/>
      <c r="D87" s="8" t="s">
        <v>53</v>
      </c>
      <c r="E87" s="4" t="s">
        <v>54</v>
      </c>
      <c r="F87" s="8" t="s">
        <v>29</v>
      </c>
      <c r="G87" s="8" t="s">
        <v>398</v>
      </c>
      <c r="H87" s="21" t="s">
        <v>175</v>
      </c>
      <c r="I87" s="8" t="s">
        <v>176</v>
      </c>
      <c r="J87" s="5" t="s">
        <v>399</v>
      </c>
      <c r="K87" s="13" t="s">
        <v>164</v>
      </c>
      <c r="L87" s="8" t="s">
        <v>30</v>
      </c>
      <c r="M87" s="8" t="s">
        <v>390</v>
      </c>
      <c r="N87" s="22" t="s">
        <v>217</v>
      </c>
    </row>
    <row r="88" customFormat="false" ht="100.5" hidden="false" customHeight="true" outlineLevel="0" collapsed="false">
      <c r="A88" s="13" t="s">
        <v>128</v>
      </c>
      <c r="B88" s="15" t="s">
        <v>89</v>
      </c>
      <c r="C88" s="13"/>
      <c r="D88" s="8" t="s">
        <v>55</v>
      </c>
      <c r="E88" s="4" t="s">
        <v>56</v>
      </c>
      <c r="F88" s="8" t="s">
        <v>29</v>
      </c>
      <c r="G88" s="8" t="s">
        <v>400</v>
      </c>
      <c r="H88" s="13" t="s">
        <v>161</v>
      </c>
      <c r="I88" s="8" t="s">
        <v>169</v>
      </c>
      <c r="J88" s="5" t="s">
        <v>401</v>
      </c>
      <c r="K88" s="13" t="s">
        <v>164</v>
      </c>
      <c r="L88" s="8" t="s">
        <v>30</v>
      </c>
      <c r="M88" s="8" t="s">
        <v>402</v>
      </c>
      <c r="N88" s="23" t="s">
        <v>403</v>
      </c>
    </row>
    <row r="89" customFormat="false" ht="29.25" hidden="false" customHeight="true" outlineLevel="0" collapsed="false">
      <c r="A89" s="13" t="s">
        <v>128</v>
      </c>
      <c r="B89" s="15" t="s">
        <v>89</v>
      </c>
      <c r="C89" s="13"/>
      <c r="D89" s="8" t="s">
        <v>55</v>
      </c>
      <c r="E89" s="4" t="s">
        <v>56</v>
      </c>
      <c r="F89" s="8" t="s">
        <v>29</v>
      </c>
      <c r="G89" s="8" t="s">
        <v>404</v>
      </c>
      <c r="H89" s="13" t="s">
        <v>161</v>
      </c>
      <c r="I89" s="8" t="s">
        <v>162</v>
      </c>
      <c r="J89" s="5" t="s">
        <v>405</v>
      </c>
      <c r="K89" s="13" t="s">
        <v>164</v>
      </c>
      <c r="L89" s="8" t="s">
        <v>30</v>
      </c>
      <c r="M89" s="8" t="s">
        <v>402</v>
      </c>
      <c r="N89" s="23" t="s">
        <v>406</v>
      </c>
    </row>
    <row r="90" customFormat="false" ht="29.25" hidden="false" customHeight="true" outlineLevel="0" collapsed="false">
      <c r="A90" s="13" t="s">
        <v>128</v>
      </c>
      <c r="B90" s="15" t="s">
        <v>89</v>
      </c>
      <c r="C90" s="13"/>
      <c r="D90" s="8" t="s">
        <v>55</v>
      </c>
      <c r="E90" s="4" t="s">
        <v>56</v>
      </c>
      <c r="F90" s="8" t="s">
        <v>29</v>
      </c>
      <c r="G90" s="8" t="s">
        <v>407</v>
      </c>
      <c r="H90" s="13" t="s">
        <v>161</v>
      </c>
      <c r="I90" s="8" t="s">
        <v>169</v>
      </c>
      <c r="J90" s="5" t="s">
        <v>408</v>
      </c>
      <c r="K90" s="13" t="s">
        <v>164</v>
      </c>
      <c r="L90" s="8" t="s">
        <v>30</v>
      </c>
      <c r="M90" s="8" t="s">
        <v>402</v>
      </c>
      <c r="N90" s="4"/>
    </row>
    <row r="91" customFormat="false" ht="29.25" hidden="false" customHeight="true" outlineLevel="0" collapsed="false">
      <c r="A91" s="13" t="s">
        <v>128</v>
      </c>
      <c r="B91" s="15" t="s">
        <v>89</v>
      </c>
      <c r="C91" s="13"/>
      <c r="D91" s="8" t="s">
        <v>55</v>
      </c>
      <c r="E91" s="4" t="s">
        <v>56</v>
      </c>
      <c r="F91" s="8" t="s">
        <v>29</v>
      </c>
      <c r="G91" s="8" t="s">
        <v>409</v>
      </c>
      <c r="H91" s="13" t="s">
        <v>161</v>
      </c>
      <c r="I91" s="8" t="s">
        <v>162</v>
      </c>
      <c r="J91" s="5" t="s">
        <v>410</v>
      </c>
      <c r="K91" s="13" t="s">
        <v>164</v>
      </c>
      <c r="L91" s="8" t="s">
        <v>30</v>
      </c>
      <c r="M91" s="8" t="s">
        <v>402</v>
      </c>
      <c r="N91" s="22" t="s">
        <v>411</v>
      </c>
    </row>
    <row r="92" customFormat="false" ht="43.5" hidden="false" customHeight="true" outlineLevel="0" collapsed="false">
      <c r="A92" s="13" t="s">
        <v>109</v>
      </c>
      <c r="B92" s="14" t="s">
        <v>79</v>
      </c>
      <c r="C92" s="13" t="s">
        <v>89</v>
      </c>
      <c r="D92" s="8" t="s">
        <v>57</v>
      </c>
      <c r="E92" s="4" t="s">
        <v>58</v>
      </c>
      <c r="F92" s="8" t="s">
        <v>47</v>
      </c>
      <c r="G92" s="8" t="s">
        <v>412</v>
      </c>
      <c r="H92" s="13" t="s">
        <v>161</v>
      </c>
      <c r="I92" s="8" t="s">
        <v>162</v>
      </c>
      <c r="J92" s="5" t="s">
        <v>413</v>
      </c>
      <c r="K92" s="13" t="s">
        <v>414</v>
      </c>
      <c r="L92" s="8" t="s">
        <v>48</v>
      </c>
      <c r="M92" s="8" t="s">
        <v>415</v>
      </c>
      <c r="N92" s="23" t="s">
        <v>416</v>
      </c>
    </row>
    <row r="93" customFormat="false" ht="29.25" hidden="false" customHeight="true" outlineLevel="0" collapsed="false">
      <c r="A93" s="13" t="s">
        <v>109</v>
      </c>
      <c r="B93" s="14" t="s">
        <v>79</v>
      </c>
      <c r="C93" s="13" t="s">
        <v>89</v>
      </c>
      <c r="D93" s="8" t="s">
        <v>57</v>
      </c>
      <c r="E93" s="4" t="s">
        <v>58</v>
      </c>
      <c r="F93" s="8" t="s">
        <v>47</v>
      </c>
      <c r="G93" s="8" t="s">
        <v>417</v>
      </c>
      <c r="H93" s="13" t="s">
        <v>161</v>
      </c>
      <c r="I93" s="8" t="s">
        <v>162</v>
      </c>
      <c r="J93" s="5" t="s">
        <v>418</v>
      </c>
      <c r="K93" s="13" t="s">
        <v>414</v>
      </c>
      <c r="L93" s="8" t="s">
        <v>48</v>
      </c>
      <c r="M93" s="8" t="s">
        <v>415</v>
      </c>
      <c r="N93" s="4"/>
    </row>
    <row r="94" customFormat="false" ht="72" hidden="false" customHeight="true" outlineLevel="0" collapsed="false">
      <c r="A94" s="13" t="s">
        <v>109</v>
      </c>
      <c r="B94" s="14" t="s">
        <v>79</v>
      </c>
      <c r="C94" s="13" t="s">
        <v>89</v>
      </c>
      <c r="D94" s="8" t="s">
        <v>57</v>
      </c>
      <c r="E94" s="4" t="s">
        <v>58</v>
      </c>
      <c r="F94" s="8" t="s">
        <v>29</v>
      </c>
      <c r="G94" s="8" t="s">
        <v>419</v>
      </c>
      <c r="H94" s="13" t="s">
        <v>161</v>
      </c>
      <c r="I94" s="8" t="s">
        <v>162</v>
      </c>
      <c r="J94" s="5" t="s">
        <v>420</v>
      </c>
      <c r="K94" s="13" t="s">
        <v>414</v>
      </c>
      <c r="L94" s="8" t="s">
        <v>30</v>
      </c>
      <c r="M94" s="8" t="s">
        <v>415</v>
      </c>
      <c r="N94" s="23" t="s">
        <v>421</v>
      </c>
    </row>
    <row r="95" customFormat="false" ht="29.25" hidden="false" customHeight="true" outlineLevel="0" collapsed="false">
      <c r="A95" s="13" t="s">
        <v>109</v>
      </c>
      <c r="B95" s="14" t="s">
        <v>79</v>
      </c>
      <c r="C95" s="13" t="s">
        <v>89</v>
      </c>
      <c r="D95" s="8" t="s">
        <v>57</v>
      </c>
      <c r="E95" s="4" t="s">
        <v>58</v>
      </c>
      <c r="F95" s="8" t="s">
        <v>29</v>
      </c>
      <c r="G95" s="8" t="s">
        <v>422</v>
      </c>
      <c r="H95" s="13" t="s">
        <v>161</v>
      </c>
      <c r="I95" s="8" t="s">
        <v>162</v>
      </c>
      <c r="J95" s="5" t="s">
        <v>423</v>
      </c>
      <c r="K95" s="13" t="s">
        <v>414</v>
      </c>
      <c r="L95" s="8" t="s">
        <v>30</v>
      </c>
      <c r="M95" s="8" t="s">
        <v>415</v>
      </c>
      <c r="N95" s="23" t="s">
        <v>424</v>
      </c>
    </row>
    <row r="96" customFormat="false" ht="43.5" hidden="false" customHeight="true" outlineLevel="0" collapsed="false">
      <c r="A96" s="13" t="s">
        <v>109</v>
      </c>
      <c r="B96" s="14" t="s">
        <v>79</v>
      </c>
      <c r="C96" s="13" t="s">
        <v>89</v>
      </c>
      <c r="D96" s="8" t="s">
        <v>57</v>
      </c>
      <c r="E96" s="4" t="s">
        <v>58</v>
      </c>
      <c r="F96" s="8" t="s">
        <v>29</v>
      </c>
      <c r="G96" s="8" t="s">
        <v>425</v>
      </c>
      <c r="H96" s="21" t="s">
        <v>175</v>
      </c>
      <c r="I96" s="8" t="s">
        <v>176</v>
      </c>
      <c r="J96" s="5" t="s">
        <v>426</v>
      </c>
      <c r="K96" s="13" t="s">
        <v>414</v>
      </c>
      <c r="L96" s="8" t="s">
        <v>30</v>
      </c>
      <c r="M96" s="8" t="s">
        <v>415</v>
      </c>
      <c r="N96" s="23" t="s">
        <v>427</v>
      </c>
    </row>
    <row r="97" customFormat="false" ht="43.5" hidden="false" customHeight="true" outlineLevel="0" collapsed="false">
      <c r="A97" s="13" t="s">
        <v>109</v>
      </c>
      <c r="B97" s="14" t="s">
        <v>79</v>
      </c>
      <c r="C97" s="13" t="s">
        <v>89</v>
      </c>
      <c r="D97" s="8" t="s">
        <v>57</v>
      </c>
      <c r="E97" s="4" t="s">
        <v>58</v>
      </c>
      <c r="F97" s="8" t="s">
        <v>29</v>
      </c>
      <c r="G97" s="8" t="s">
        <v>428</v>
      </c>
      <c r="H97" s="21" t="s">
        <v>175</v>
      </c>
      <c r="I97" s="8" t="s">
        <v>176</v>
      </c>
      <c r="J97" s="5" t="s">
        <v>429</v>
      </c>
      <c r="K97" s="13" t="s">
        <v>414</v>
      </c>
      <c r="L97" s="8" t="s">
        <v>30</v>
      </c>
      <c r="M97" s="8" t="s">
        <v>415</v>
      </c>
      <c r="N97" s="23" t="s">
        <v>430</v>
      </c>
    </row>
    <row r="98" customFormat="false" ht="29.25" hidden="false" customHeight="true" outlineLevel="0" collapsed="false">
      <c r="A98" s="13" t="s">
        <v>109</v>
      </c>
      <c r="B98" s="14" t="s">
        <v>79</v>
      </c>
      <c r="C98" s="13" t="s">
        <v>89</v>
      </c>
      <c r="D98" s="8" t="s">
        <v>57</v>
      </c>
      <c r="E98" s="4" t="s">
        <v>58</v>
      </c>
      <c r="F98" s="8" t="s">
        <v>29</v>
      </c>
      <c r="G98" s="8" t="s">
        <v>431</v>
      </c>
      <c r="H98" s="21" t="s">
        <v>175</v>
      </c>
      <c r="I98" s="8" t="s">
        <v>176</v>
      </c>
      <c r="J98" s="5" t="s">
        <v>432</v>
      </c>
      <c r="K98" s="13" t="s">
        <v>414</v>
      </c>
      <c r="L98" s="8" t="s">
        <v>30</v>
      </c>
      <c r="M98" s="8" t="s">
        <v>415</v>
      </c>
      <c r="N98" s="4"/>
    </row>
    <row r="99" customFormat="false" ht="29.25" hidden="false" customHeight="true" outlineLevel="0" collapsed="false">
      <c r="A99" s="13" t="s">
        <v>109</v>
      </c>
      <c r="B99" s="14" t="s">
        <v>79</v>
      </c>
      <c r="C99" s="13" t="s">
        <v>89</v>
      </c>
      <c r="D99" s="8" t="s">
        <v>57</v>
      </c>
      <c r="E99" s="4" t="s">
        <v>58</v>
      </c>
      <c r="F99" s="8" t="s">
        <v>29</v>
      </c>
      <c r="G99" s="8" t="s">
        <v>433</v>
      </c>
      <c r="H99" s="21" t="s">
        <v>175</v>
      </c>
      <c r="I99" s="8" t="s">
        <v>176</v>
      </c>
      <c r="J99" s="5" t="s">
        <v>434</v>
      </c>
      <c r="K99" s="13" t="s">
        <v>414</v>
      </c>
      <c r="L99" s="8" t="s">
        <v>30</v>
      </c>
      <c r="M99" s="8" t="s">
        <v>415</v>
      </c>
      <c r="N99" s="4"/>
    </row>
    <row r="100" customFormat="false" ht="29.25" hidden="false" customHeight="true" outlineLevel="0" collapsed="false">
      <c r="A100" s="13" t="s">
        <v>109</v>
      </c>
      <c r="B100" s="14" t="s">
        <v>79</v>
      </c>
      <c r="C100" s="13" t="s">
        <v>89</v>
      </c>
      <c r="D100" s="8" t="s">
        <v>57</v>
      </c>
      <c r="E100" s="4" t="s">
        <v>58</v>
      </c>
      <c r="F100" s="8" t="s">
        <v>47</v>
      </c>
      <c r="G100" s="8" t="s">
        <v>435</v>
      </c>
      <c r="H100" s="21" t="s">
        <v>175</v>
      </c>
      <c r="I100" s="8" t="s">
        <v>176</v>
      </c>
      <c r="J100" s="5" t="s">
        <v>436</v>
      </c>
      <c r="K100" s="13" t="s">
        <v>414</v>
      </c>
      <c r="L100" s="8" t="s">
        <v>48</v>
      </c>
      <c r="M100" s="8" t="s">
        <v>415</v>
      </c>
      <c r="N100" s="22" t="s">
        <v>217</v>
      </c>
    </row>
    <row r="101" customFormat="false" ht="29.25" hidden="false" customHeight="true" outlineLevel="0" collapsed="false">
      <c r="A101" s="13" t="s">
        <v>109</v>
      </c>
      <c r="B101" s="14" t="s">
        <v>79</v>
      </c>
      <c r="C101" s="13" t="s">
        <v>89</v>
      </c>
      <c r="D101" s="8" t="s">
        <v>57</v>
      </c>
      <c r="E101" s="4" t="s">
        <v>58</v>
      </c>
      <c r="F101" s="8" t="s">
        <v>47</v>
      </c>
      <c r="G101" s="8" t="s">
        <v>437</v>
      </c>
      <c r="H101" s="21" t="s">
        <v>175</v>
      </c>
      <c r="I101" s="8" t="s">
        <v>176</v>
      </c>
      <c r="J101" s="5" t="s">
        <v>438</v>
      </c>
      <c r="K101" s="13" t="s">
        <v>414</v>
      </c>
      <c r="L101" s="8" t="s">
        <v>48</v>
      </c>
      <c r="M101" s="8" t="s">
        <v>415</v>
      </c>
      <c r="N101" s="22" t="s">
        <v>217</v>
      </c>
    </row>
    <row r="102" customFormat="false" ht="86.25" hidden="false" customHeight="true" outlineLevel="0" collapsed="false">
      <c r="A102" s="13" t="s">
        <v>60</v>
      </c>
      <c r="B102" s="15" t="s">
        <v>89</v>
      </c>
      <c r="C102" s="13"/>
      <c r="D102" s="8" t="s">
        <v>59</v>
      </c>
      <c r="E102" s="4" t="s">
        <v>60</v>
      </c>
      <c r="F102" s="8" t="s">
        <v>47</v>
      </c>
      <c r="G102" s="8" t="s">
        <v>439</v>
      </c>
      <c r="H102" s="13" t="s">
        <v>161</v>
      </c>
      <c r="I102" s="8" t="s">
        <v>162</v>
      </c>
      <c r="J102" s="5" t="s">
        <v>440</v>
      </c>
      <c r="K102" s="13" t="s">
        <v>164</v>
      </c>
      <c r="L102" s="8" t="s">
        <v>48</v>
      </c>
      <c r="M102" s="8" t="s">
        <v>441</v>
      </c>
      <c r="N102" s="22" t="s">
        <v>442</v>
      </c>
    </row>
    <row r="103" customFormat="false" ht="15.75" hidden="false" customHeight="true" outlineLevel="0" collapsed="false">
      <c r="A103" s="13" t="s">
        <v>60</v>
      </c>
      <c r="B103" s="15" t="s">
        <v>89</v>
      </c>
      <c r="C103" s="13"/>
      <c r="D103" s="8" t="s">
        <v>59</v>
      </c>
      <c r="E103" s="4" t="s">
        <v>60</v>
      </c>
      <c r="F103" s="8" t="s">
        <v>47</v>
      </c>
      <c r="G103" s="8" t="s">
        <v>443</v>
      </c>
      <c r="H103" s="13" t="s">
        <v>161</v>
      </c>
      <c r="I103" s="8" t="s">
        <v>169</v>
      </c>
      <c r="J103" s="5" t="s">
        <v>444</v>
      </c>
      <c r="K103" s="13" t="s">
        <v>171</v>
      </c>
      <c r="L103" s="8" t="s">
        <v>48</v>
      </c>
      <c r="M103" s="8" t="s">
        <v>441</v>
      </c>
      <c r="N103" s="4"/>
    </row>
    <row r="104" customFormat="false" ht="29.25" hidden="false" customHeight="true" outlineLevel="0" collapsed="false">
      <c r="A104" s="13" t="s">
        <v>60</v>
      </c>
      <c r="B104" s="15" t="s">
        <v>89</v>
      </c>
      <c r="C104" s="13"/>
      <c r="D104" s="8" t="s">
        <v>59</v>
      </c>
      <c r="E104" s="4" t="s">
        <v>60</v>
      </c>
      <c r="F104" s="8" t="s">
        <v>47</v>
      </c>
      <c r="G104" s="8" t="s">
        <v>445</v>
      </c>
      <c r="H104" s="13" t="s">
        <v>161</v>
      </c>
      <c r="I104" s="8" t="s">
        <v>169</v>
      </c>
      <c r="J104" s="5" t="s">
        <v>446</v>
      </c>
      <c r="K104" s="13" t="s">
        <v>164</v>
      </c>
      <c r="L104" s="8" t="s">
        <v>48</v>
      </c>
      <c r="M104" s="8" t="s">
        <v>441</v>
      </c>
      <c r="N104" s="4"/>
    </row>
    <row r="105" customFormat="false" ht="29.25" hidden="false" customHeight="true" outlineLevel="0" collapsed="false">
      <c r="A105" s="13" t="s">
        <v>60</v>
      </c>
      <c r="B105" s="15" t="s">
        <v>89</v>
      </c>
      <c r="C105" s="13" t="s">
        <v>79</v>
      </c>
      <c r="D105" s="8" t="s">
        <v>59</v>
      </c>
      <c r="E105" s="4" t="s">
        <v>60</v>
      </c>
      <c r="F105" s="8" t="s">
        <v>47</v>
      </c>
      <c r="G105" s="8" t="s">
        <v>447</v>
      </c>
      <c r="H105" s="13" t="s">
        <v>161</v>
      </c>
      <c r="I105" s="8" t="s">
        <v>162</v>
      </c>
      <c r="J105" s="5" t="s">
        <v>448</v>
      </c>
      <c r="K105" s="13" t="s">
        <v>164</v>
      </c>
      <c r="L105" s="8" t="s">
        <v>48</v>
      </c>
      <c r="M105" s="8" t="s">
        <v>441</v>
      </c>
      <c r="N105" s="4"/>
    </row>
    <row r="106" customFormat="false" ht="29.25" hidden="false" customHeight="true" outlineLevel="0" collapsed="false">
      <c r="A106" s="13" t="s">
        <v>60</v>
      </c>
      <c r="B106" s="15" t="s">
        <v>89</v>
      </c>
      <c r="C106" s="13"/>
      <c r="D106" s="8" t="s">
        <v>59</v>
      </c>
      <c r="E106" s="4" t="s">
        <v>60</v>
      </c>
      <c r="F106" s="8" t="s">
        <v>47</v>
      </c>
      <c r="G106" s="8" t="s">
        <v>449</v>
      </c>
      <c r="H106" s="21" t="s">
        <v>175</v>
      </c>
      <c r="I106" s="8" t="s">
        <v>176</v>
      </c>
      <c r="J106" s="5" t="s">
        <v>450</v>
      </c>
      <c r="K106" s="13" t="s">
        <v>164</v>
      </c>
      <c r="L106" s="8" t="s">
        <v>48</v>
      </c>
      <c r="M106" s="8" t="s">
        <v>441</v>
      </c>
      <c r="N106" s="22" t="s">
        <v>451</v>
      </c>
    </row>
    <row r="107" customFormat="false" ht="29.25" hidden="false" customHeight="true" outlineLevel="0" collapsed="false">
      <c r="A107" s="13" t="s">
        <v>60</v>
      </c>
      <c r="B107" s="15" t="s">
        <v>89</v>
      </c>
      <c r="C107" s="13"/>
      <c r="D107" s="8" t="s">
        <v>59</v>
      </c>
      <c r="E107" s="4" t="s">
        <v>60</v>
      </c>
      <c r="F107" s="8" t="s">
        <v>47</v>
      </c>
      <c r="G107" s="8" t="s">
        <v>452</v>
      </c>
      <c r="H107" s="21" t="s">
        <v>175</v>
      </c>
      <c r="I107" s="8" t="s">
        <v>176</v>
      </c>
      <c r="J107" s="5" t="s">
        <v>453</v>
      </c>
      <c r="K107" s="13" t="s">
        <v>164</v>
      </c>
      <c r="L107" s="8" t="s">
        <v>48</v>
      </c>
      <c r="M107" s="8" t="s">
        <v>441</v>
      </c>
      <c r="N107" s="4"/>
    </row>
    <row r="108" customFormat="false" ht="29.25" hidden="false" customHeight="true" outlineLevel="0" collapsed="false">
      <c r="A108" s="13" t="s">
        <v>131</v>
      </c>
      <c r="B108" s="16" t="s">
        <v>92</v>
      </c>
      <c r="C108" s="13" t="s">
        <v>89</v>
      </c>
      <c r="D108" s="8" t="s">
        <v>61</v>
      </c>
      <c r="E108" s="4" t="s">
        <v>62</v>
      </c>
      <c r="F108" s="8" t="s">
        <v>47</v>
      </c>
      <c r="G108" s="8" t="s">
        <v>454</v>
      </c>
      <c r="H108" s="13" t="s">
        <v>161</v>
      </c>
      <c r="I108" s="8" t="s">
        <v>162</v>
      </c>
      <c r="J108" s="5" t="s">
        <v>455</v>
      </c>
      <c r="K108" s="13" t="s">
        <v>164</v>
      </c>
      <c r="L108" s="8" t="s">
        <v>48</v>
      </c>
      <c r="M108" s="8" t="s">
        <v>456</v>
      </c>
      <c r="N108" s="4"/>
    </row>
    <row r="109" customFormat="false" ht="43.5" hidden="false" customHeight="true" outlineLevel="0" collapsed="false">
      <c r="A109" s="13" t="s">
        <v>131</v>
      </c>
      <c r="B109" s="16" t="s">
        <v>92</v>
      </c>
      <c r="C109" s="13" t="s">
        <v>457</v>
      </c>
      <c r="D109" s="8" t="s">
        <v>61</v>
      </c>
      <c r="E109" s="4" t="s">
        <v>62</v>
      </c>
      <c r="F109" s="8" t="s">
        <v>47</v>
      </c>
      <c r="G109" s="8" t="s">
        <v>458</v>
      </c>
      <c r="H109" s="13" t="s">
        <v>161</v>
      </c>
      <c r="I109" s="8" t="s">
        <v>162</v>
      </c>
      <c r="J109" s="5" t="s">
        <v>459</v>
      </c>
      <c r="K109" s="13" t="s">
        <v>164</v>
      </c>
      <c r="L109" s="8" t="s">
        <v>48</v>
      </c>
      <c r="M109" s="8" t="s">
        <v>456</v>
      </c>
      <c r="N109" s="4"/>
    </row>
    <row r="110" customFormat="false" ht="29.25" hidden="false" customHeight="true" outlineLevel="0" collapsed="false">
      <c r="A110" s="13" t="s">
        <v>131</v>
      </c>
      <c r="B110" s="16" t="s">
        <v>92</v>
      </c>
      <c r="C110" s="13" t="s">
        <v>89</v>
      </c>
      <c r="D110" s="8" t="s">
        <v>61</v>
      </c>
      <c r="E110" s="4" t="s">
        <v>62</v>
      </c>
      <c r="F110" s="8" t="s">
        <v>47</v>
      </c>
      <c r="G110" s="8" t="s">
        <v>460</v>
      </c>
      <c r="H110" s="13" t="s">
        <v>161</v>
      </c>
      <c r="I110" s="8" t="s">
        <v>162</v>
      </c>
      <c r="J110" s="5" t="s">
        <v>461</v>
      </c>
      <c r="K110" s="13" t="s">
        <v>164</v>
      </c>
      <c r="L110" s="8" t="s">
        <v>48</v>
      </c>
      <c r="M110" s="8" t="s">
        <v>456</v>
      </c>
      <c r="N110" s="4"/>
    </row>
    <row r="111" customFormat="false" ht="29.25" hidden="false" customHeight="true" outlineLevel="0" collapsed="false">
      <c r="A111" s="13" t="s">
        <v>131</v>
      </c>
      <c r="B111" s="16" t="s">
        <v>92</v>
      </c>
      <c r="C111" s="13" t="s">
        <v>89</v>
      </c>
      <c r="D111" s="8" t="s">
        <v>61</v>
      </c>
      <c r="E111" s="4" t="s">
        <v>62</v>
      </c>
      <c r="F111" s="8" t="s">
        <v>47</v>
      </c>
      <c r="G111" s="8" t="s">
        <v>462</v>
      </c>
      <c r="H111" s="21" t="s">
        <v>175</v>
      </c>
      <c r="I111" s="8" t="s">
        <v>176</v>
      </c>
      <c r="J111" s="5" t="s">
        <v>463</v>
      </c>
      <c r="K111" s="13" t="s">
        <v>164</v>
      </c>
      <c r="L111" s="8" t="s">
        <v>48</v>
      </c>
      <c r="M111" s="8" t="s">
        <v>456</v>
      </c>
      <c r="N111" s="22" t="s">
        <v>217</v>
      </c>
    </row>
    <row r="112" customFormat="false" ht="29.25" hidden="false" customHeight="true" outlineLevel="0" collapsed="false">
      <c r="A112" s="13" t="s">
        <v>131</v>
      </c>
      <c r="B112" s="16" t="s">
        <v>92</v>
      </c>
      <c r="C112" s="13" t="s">
        <v>89</v>
      </c>
      <c r="D112" s="8" t="s">
        <v>61</v>
      </c>
      <c r="E112" s="4" t="s">
        <v>62</v>
      </c>
      <c r="F112" s="8" t="s">
        <v>47</v>
      </c>
      <c r="G112" s="8" t="s">
        <v>464</v>
      </c>
      <c r="H112" s="21" t="s">
        <v>175</v>
      </c>
      <c r="I112" s="8" t="s">
        <v>176</v>
      </c>
      <c r="J112" s="5" t="s">
        <v>465</v>
      </c>
      <c r="K112" s="13" t="s">
        <v>164</v>
      </c>
      <c r="L112" s="8" t="s">
        <v>48</v>
      </c>
      <c r="M112" s="8" t="s">
        <v>456</v>
      </c>
      <c r="N112" s="22" t="s">
        <v>217</v>
      </c>
    </row>
    <row r="113" customFormat="false" ht="43.5" hidden="false" customHeight="true" outlineLevel="0" collapsed="false">
      <c r="A113" s="13" t="s">
        <v>134</v>
      </c>
      <c r="B113" s="16" t="s">
        <v>92</v>
      </c>
      <c r="C113" s="13" t="s">
        <v>89</v>
      </c>
      <c r="D113" s="8" t="s">
        <v>63</v>
      </c>
      <c r="E113" s="4" t="s">
        <v>64</v>
      </c>
      <c r="F113" s="8" t="s">
        <v>65</v>
      </c>
      <c r="G113" s="8" t="s">
        <v>466</v>
      </c>
      <c r="H113" s="13" t="s">
        <v>161</v>
      </c>
      <c r="I113" s="8" t="s">
        <v>162</v>
      </c>
      <c r="J113" s="5" t="s">
        <v>467</v>
      </c>
      <c r="K113" s="13" t="s">
        <v>284</v>
      </c>
      <c r="L113" s="8" t="s">
        <v>66</v>
      </c>
      <c r="M113" s="8" t="s">
        <v>468</v>
      </c>
      <c r="N113" s="4"/>
    </row>
    <row r="114" customFormat="false" ht="29.25" hidden="false" customHeight="true" outlineLevel="0" collapsed="false">
      <c r="A114" s="13" t="s">
        <v>134</v>
      </c>
      <c r="B114" s="16" t="s">
        <v>92</v>
      </c>
      <c r="C114" s="13" t="s">
        <v>341</v>
      </c>
      <c r="D114" s="8" t="s">
        <v>63</v>
      </c>
      <c r="E114" s="4" t="s">
        <v>64</v>
      </c>
      <c r="F114" s="8" t="s">
        <v>65</v>
      </c>
      <c r="G114" s="8" t="s">
        <v>469</v>
      </c>
      <c r="H114" s="13" t="s">
        <v>161</v>
      </c>
      <c r="I114" s="8" t="s">
        <v>162</v>
      </c>
      <c r="J114" s="5" t="s">
        <v>470</v>
      </c>
      <c r="K114" s="13" t="s">
        <v>284</v>
      </c>
      <c r="L114" s="8" t="s">
        <v>66</v>
      </c>
      <c r="M114" s="8" t="s">
        <v>468</v>
      </c>
      <c r="N114" s="4"/>
    </row>
    <row r="115" customFormat="false" ht="29.25" hidden="false" customHeight="true" outlineLevel="0" collapsed="false">
      <c r="A115" s="13" t="s">
        <v>134</v>
      </c>
      <c r="B115" s="16" t="s">
        <v>92</v>
      </c>
      <c r="C115" s="13"/>
      <c r="D115" s="8" t="s">
        <v>63</v>
      </c>
      <c r="E115" s="4" t="s">
        <v>64</v>
      </c>
      <c r="F115" s="8" t="s">
        <v>65</v>
      </c>
      <c r="G115" s="8" t="s">
        <v>471</v>
      </c>
      <c r="H115" s="21" t="s">
        <v>175</v>
      </c>
      <c r="I115" s="8" t="s">
        <v>176</v>
      </c>
      <c r="J115" s="5" t="s">
        <v>472</v>
      </c>
      <c r="K115" s="13" t="s">
        <v>171</v>
      </c>
      <c r="L115" s="8" t="s">
        <v>66</v>
      </c>
      <c r="M115" s="8" t="s">
        <v>468</v>
      </c>
      <c r="N115" s="4"/>
    </row>
    <row r="116" customFormat="false" ht="29.25" hidden="false" customHeight="true" outlineLevel="0" collapsed="false">
      <c r="A116" s="13" t="s">
        <v>68</v>
      </c>
      <c r="B116" s="15" t="s">
        <v>89</v>
      </c>
      <c r="C116" s="13" t="s">
        <v>96</v>
      </c>
      <c r="D116" s="8" t="s">
        <v>67</v>
      </c>
      <c r="E116" s="4" t="s">
        <v>68</v>
      </c>
      <c r="F116" s="8" t="s">
        <v>65</v>
      </c>
      <c r="G116" s="8" t="s">
        <v>473</v>
      </c>
      <c r="H116" s="13" t="s">
        <v>161</v>
      </c>
      <c r="I116" s="8" t="s">
        <v>162</v>
      </c>
      <c r="J116" s="5" t="s">
        <v>474</v>
      </c>
      <c r="K116" s="13" t="s">
        <v>164</v>
      </c>
      <c r="L116" s="8" t="s">
        <v>66</v>
      </c>
      <c r="M116" s="8" t="s">
        <v>468</v>
      </c>
      <c r="N116" s="4"/>
    </row>
    <row r="117" customFormat="false" ht="57.75" hidden="false" customHeight="true" outlineLevel="0" collapsed="false">
      <c r="A117" s="13" t="s">
        <v>68</v>
      </c>
      <c r="B117" s="15" t="s">
        <v>89</v>
      </c>
      <c r="C117" s="13"/>
      <c r="D117" s="8" t="s">
        <v>67</v>
      </c>
      <c r="E117" s="4" t="s">
        <v>68</v>
      </c>
      <c r="F117" s="8" t="s">
        <v>65</v>
      </c>
      <c r="G117" s="8" t="s">
        <v>475</v>
      </c>
      <c r="H117" s="13" t="s">
        <v>161</v>
      </c>
      <c r="I117" s="8" t="s">
        <v>162</v>
      </c>
      <c r="J117" s="5" t="s">
        <v>476</v>
      </c>
      <c r="K117" s="13" t="s">
        <v>164</v>
      </c>
      <c r="L117" s="8" t="s">
        <v>66</v>
      </c>
      <c r="M117" s="8" t="s">
        <v>468</v>
      </c>
      <c r="N117" s="23" t="s">
        <v>477</v>
      </c>
    </row>
    <row r="118" customFormat="false" ht="29.25" hidden="false" customHeight="true" outlineLevel="0" collapsed="false">
      <c r="A118" s="13" t="s">
        <v>68</v>
      </c>
      <c r="B118" s="15" t="s">
        <v>89</v>
      </c>
      <c r="C118" s="13"/>
      <c r="D118" s="8" t="s">
        <v>67</v>
      </c>
      <c r="E118" s="4" t="s">
        <v>68</v>
      </c>
      <c r="F118" s="8" t="s">
        <v>65</v>
      </c>
      <c r="G118" s="8" t="s">
        <v>478</v>
      </c>
      <c r="H118" s="21" t="s">
        <v>175</v>
      </c>
      <c r="I118" s="8" t="s">
        <v>176</v>
      </c>
      <c r="J118" s="5" t="s">
        <v>479</v>
      </c>
      <c r="K118" s="13" t="s">
        <v>164</v>
      </c>
      <c r="L118" s="8" t="s">
        <v>66</v>
      </c>
      <c r="M118" s="8" t="s">
        <v>468</v>
      </c>
      <c r="N118" s="4"/>
    </row>
  </sheetData>
  <autoFilter ref="A1:N1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9"/>
    <col collapsed="false" customWidth="true" hidden="false" outlineLevel="0" max="3" min="3" style="1" width="6"/>
    <col collapsed="false" customWidth="true" hidden="false" outlineLevel="0" max="4" min="4" style="1" width="12"/>
    <col collapsed="false" customWidth="true" hidden="false" outlineLevel="0" max="5" min="5" style="1" width="34"/>
    <col collapsed="false" customWidth="true" hidden="false" outlineLevel="0" max="6" min="6" style="1" width="20"/>
    <col collapsed="false" customWidth="true" hidden="false" outlineLevel="0" max="7" min="7" style="1" width="26"/>
    <col collapsed="false" customWidth="true" hidden="false" outlineLevel="0" max="9" min="8" style="1" width="34"/>
    <col collapsed="false" customWidth="true" hidden="false" outlineLevel="0" max="10" min="10" style="1" width="18"/>
    <col collapsed="false" customWidth="true" hidden="false" outlineLevel="0" max="11" min="11" style="1" width="52"/>
    <col collapsed="false" customWidth="true" hidden="false" outlineLevel="0" max="12" min="12" style="1" width="16"/>
  </cols>
  <sheetData>
    <row r="1" customFormat="false" ht="26.25" hidden="false" customHeight="true" outlineLevel="0" collapsed="false">
      <c r="A1" s="7" t="s">
        <v>71</v>
      </c>
      <c r="B1" s="7" t="s">
        <v>73</v>
      </c>
      <c r="C1" s="20" t="s">
        <v>480</v>
      </c>
      <c r="D1" s="7" t="s">
        <v>481</v>
      </c>
      <c r="E1" s="7" t="s">
        <v>482</v>
      </c>
      <c r="F1" s="7" t="s">
        <v>483</v>
      </c>
      <c r="G1" s="7" t="s">
        <v>484</v>
      </c>
      <c r="H1" s="7" t="s">
        <v>485</v>
      </c>
      <c r="I1" s="7" t="s">
        <v>486</v>
      </c>
      <c r="J1" s="7" t="s">
        <v>487</v>
      </c>
      <c r="K1" s="7" t="s">
        <v>488</v>
      </c>
      <c r="L1" s="7" t="s">
        <v>489</v>
      </c>
    </row>
    <row r="2" customFormat="false" ht="57.75" hidden="false" customHeight="true" outlineLevel="0" collapsed="false">
      <c r="A2" s="13" t="s">
        <v>77</v>
      </c>
      <c r="B2" s="14" t="s">
        <v>79</v>
      </c>
      <c r="C2" s="8" t="s">
        <v>490</v>
      </c>
      <c r="D2" s="8" t="s">
        <v>491</v>
      </c>
      <c r="E2" s="5" t="s">
        <v>492</v>
      </c>
      <c r="F2" s="4" t="s">
        <v>493</v>
      </c>
      <c r="G2" s="5" t="s">
        <v>494</v>
      </c>
      <c r="H2" s="5" t="s">
        <v>495</v>
      </c>
      <c r="I2" s="4" t="s">
        <v>496</v>
      </c>
      <c r="J2" s="5" t="s">
        <v>80</v>
      </c>
      <c r="K2" s="4" t="s">
        <v>497</v>
      </c>
      <c r="L2" s="5" t="s">
        <v>498</v>
      </c>
    </row>
    <row r="3" customFormat="false" ht="43.5" hidden="false" customHeight="true" outlineLevel="0" collapsed="false">
      <c r="A3" s="13" t="s">
        <v>77</v>
      </c>
      <c r="B3" s="14" t="s">
        <v>79</v>
      </c>
      <c r="C3" s="8" t="s">
        <v>499</v>
      </c>
      <c r="D3" s="8" t="s">
        <v>491</v>
      </c>
      <c r="E3" s="5" t="s">
        <v>500</v>
      </c>
      <c r="F3" s="4" t="s">
        <v>501</v>
      </c>
      <c r="G3" s="5" t="s">
        <v>502</v>
      </c>
      <c r="H3" s="5" t="s">
        <v>495</v>
      </c>
      <c r="I3" s="4" t="s">
        <v>503</v>
      </c>
      <c r="J3" s="5" t="s">
        <v>80</v>
      </c>
      <c r="K3" s="5" t="s">
        <v>504</v>
      </c>
      <c r="L3" s="5" t="s">
        <v>505</v>
      </c>
    </row>
    <row r="4" customFormat="false" ht="43.5" hidden="false" customHeight="true" outlineLevel="0" collapsed="false">
      <c r="A4" s="13" t="s">
        <v>77</v>
      </c>
      <c r="B4" s="17" t="s">
        <v>96</v>
      </c>
      <c r="C4" s="8" t="s">
        <v>506</v>
      </c>
      <c r="D4" s="8" t="s">
        <v>507</v>
      </c>
      <c r="E4" s="5" t="s">
        <v>508</v>
      </c>
      <c r="F4" s="4" t="s">
        <v>501</v>
      </c>
      <c r="G4" s="5" t="s">
        <v>495</v>
      </c>
      <c r="H4" s="5" t="s">
        <v>509</v>
      </c>
      <c r="I4" s="4" t="s">
        <v>510</v>
      </c>
      <c r="J4" s="5" t="s">
        <v>511</v>
      </c>
      <c r="K4" s="5" t="s">
        <v>512</v>
      </c>
      <c r="L4" s="5" t="s">
        <v>513</v>
      </c>
    </row>
    <row r="5" customFormat="false" ht="57.75" hidden="false" customHeight="true" outlineLevel="0" collapsed="false">
      <c r="A5" s="13" t="s">
        <v>81</v>
      </c>
      <c r="B5" s="14" t="s">
        <v>79</v>
      </c>
      <c r="C5" s="8" t="s">
        <v>514</v>
      </c>
      <c r="D5" s="8" t="s">
        <v>515</v>
      </c>
      <c r="E5" s="5" t="s">
        <v>516</v>
      </c>
      <c r="F5" s="5" t="s">
        <v>515</v>
      </c>
      <c r="G5" s="4" t="s">
        <v>501</v>
      </c>
      <c r="H5" s="5" t="s">
        <v>517</v>
      </c>
      <c r="I5" s="4" t="s">
        <v>518</v>
      </c>
      <c r="J5" s="5" t="s">
        <v>83</v>
      </c>
      <c r="K5" s="4" t="s">
        <v>519</v>
      </c>
      <c r="L5" s="5" t="s">
        <v>520</v>
      </c>
    </row>
    <row r="6" customFormat="false" ht="29.25" hidden="false" customHeight="true" outlineLevel="0" collapsed="false">
      <c r="A6" s="13" t="s">
        <v>34</v>
      </c>
      <c r="B6" s="14" t="s">
        <v>79</v>
      </c>
      <c r="C6" s="8" t="s">
        <v>521</v>
      </c>
      <c r="D6" s="8" t="s">
        <v>515</v>
      </c>
      <c r="E6" s="5" t="s">
        <v>522</v>
      </c>
      <c r="F6" s="5" t="s">
        <v>515</v>
      </c>
      <c r="G6" s="5" t="s">
        <v>523</v>
      </c>
      <c r="H6" s="4" t="s">
        <v>524</v>
      </c>
      <c r="I6" s="4" t="s">
        <v>525</v>
      </c>
      <c r="J6" s="5" t="s">
        <v>83</v>
      </c>
      <c r="K6" s="5" t="s">
        <v>526</v>
      </c>
      <c r="L6" s="5" t="s">
        <v>527</v>
      </c>
    </row>
    <row r="7" customFormat="false" ht="72" hidden="false" customHeight="true" outlineLevel="0" collapsed="false">
      <c r="A7" s="13" t="s">
        <v>104</v>
      </c>
      <c r="B7" s="14" t="s">
        <v>79</v>
      </c>
      <c r="C7" s="8" t="s">
        <v>528</v>
      </c>
      <c r="D7" s="8" t="s">
        <v>515</v>
      </c>
      <c r="E7" s="5" t="s">
        <v>529</v>
      </c>
      <c r="F7" s="5" t="s">
        <v>515</v>
      </c>
      <c r="G7" s="4" t="s">
        <v>530</v>
      </c>
      <c r="H7" s="4" t="s">
        <v>531</v>
      </c>
      <c r="I7" s="4" t="s">
        <v>532</v>
      </c>
      <c r="J7" s="5" t="s">
        <v>106</v>
      </c>
      <c r="K7" s="4" t="s">
        <v>533</v>
      </c>
      <c r="L7" s="5" t="s">
        <v>534</v>
      </c>
    </row>
    <row r="8" customFormat="false" ht="15" hidden="false" customHeight="true" outlineLevel="0" collapsed="false">
      <c r="A8" s="13" t="s">
        <v>34</v>
      </c>
      <c r="B8" s="14" t="s">
        <v>79</v>
      </c>
      <c r="C8" s="8" t="s">
        <v>535</v>
      </c>
      <c r="D8" s="8" t="s">
        <v>515</v>
      </c>
      <c r="E8" s="5" t="s">
        <v>536</v>
      </c>
      <c r="F8" s="5" t="s">
        <v>515</v>
      </c>
      <c r="G8" s="4" t="s">
        <v>537</v>
      </c>
      <c r="H8" s="4" t="s">
        <v>538</v>
      </c>
      <c r="I8" s="4" t="s">
        <v>539</v>
      </c>
      <c r="J8" s="5" t="s">
        <v>83</v>
      </c>
      <c r="K8" s="5" t="s">
        <v>540</v>
      </c>
      <c r="L8" s="5" t="s">
        <v>33</v>
      </c>
    </row>
    <row r="9" customFormat="false" ht="29.25" hidden="false" customHeight="true" outlineLevel="0" collapsed="false">
      <c r="A9" s="13" t="s">
        <v>34</v>
      </c>
      <c r="B9" s="14" t="s">
        <v>79</v>
      </c>
      <c r="C9" s="8" t="s">
        <v>541</v>
      </c>
      <c r="D9" s="8" t="s">
        <v>515</v>
      </c>
      <c r="E9" s="5" t="s">
        <v>542</v>
      </c>
      <c r="F9" s="5" t="s">
        <v>515</v>
      </c>
      <c r="G9" s="4" t="s">
        <v>543</v>
      </c>
      <c r="H9" s="4" t="s">
        <v>501</v>
      </c>
      <c r="I9" s="4" t="s">
        <v>544</v>
      </c>
      <c r="J9" s="5" t="s">
        <v>83</v>
      </c>
      <c r="K9" s="4" t="s">
        <v>545</v>
      </c>
      <c r="L9" s="5" t="s">
        <v>546</v>
      </c>
    </row>
    <row r="10" customFormat="false" ht="23.25" hidden="false" customHeight="true" outlineLevel="0" collapsed="false">
      <c r="A10" s="13" t="s">
        <v>112</v>
      </c>
      <c r="B10" s="17" t="s">
        <v>96</v>
      </c>
      <c r="C10" s="8" t="s">
        <v>547</v>
      </c>
      <c r="D10" s="8" t="s">
        <v>515</v>
      </c>
      <c r="E10" s="5" t="s">
        <v>548</v>
      </c>
      <c r="F10" s="5" t="s">
        <v>515</v>
      </c>
      <c r="G10" s="5" t="s">
        <v>495</v>
      </c>
      <c r="H10" s="5" t="s">
        <v>549</v>
      </c>
      <c r="I10" s="4" t="s">
        <v>550</v>
      </c>
      <c r="J10" s="5" t="s">
        <v>551</v>
      </c>
      <c r="K10" s="4" t="s">
        <v>552</v>
      </c>
      <c r="L10" s="5" t="s">
        <v>553</v>
      </c>
    </row>
    <row r="11" customFormat="false" ht="43.5" hidden="false" customHeight="true" outlineLevel="0" collapsed="false">
      <c r="A11" s="13" t="s">
        <v>107</v>
      </c>
      <c r="B11" s="17" t="s">
        <v>96</v>
      </c>
      <c r="C11" s="8" t="s">
        <v>554</v>
      </c>
      <c r="D11" s="8" t="s">
        <v>515</v>
      </c>
      <c r="E11" s="5" t="s">
        <v>555</v>
      </c>
      <c r="F11" s="5" t="s">
        <v>515</v>
      </c>
      <c r="G11" s="5" t="s">
        <v>495</v>
      </c>
      <c r="H11" s="5" t="s">
        <v>556</v>
      </c>
      <c r="I11" s="4" t="s">
        <v>557</v>
      </c>
      <c r="J11" s="5" t="s">
        <v>551</v>
      </c>
      <c r="K11" s="5" t="s">
        <v>558</v>
      </c>
      <c r="L11" s="5" t="s">
        <v>559</v>
      </c>
    </row>
    <row r="12" customFormat="false" ht="15" hidden="false" customHeight="true" outlineLevel="0" collapsed="false">
      <c r="A12" s="13" t="s">
        <v>81</v>
      </c>
      <c r="B12" s="15" t="s">
        <v>89</v>
      </c>
      <c r="C12" s="8" t="s">
        <v>560</v>
      </c>
      <c r="D12" s="8" t="s">
        <v>515</v>
      </c>
      <c r="E12" s="5" t="s">
        <v>561</v>
      </c>
      <c r="F12" s="5" t="s">
        <v>515</v>
      </c>
      <c r="G12" s="5" t="s">
        <v>495</v>
      </c>
      <c r="H12" s="5" t="s">
        <v>562</v>
      </c>
      <c r="I12" s="4" t="s">
        <v>563</v>
      </c>
      <c r="J12" s="5" t="s">
        <v>564</v>
      </c>
      <c r="K12" s="4"/>
      <c r="L12" s="5" t="s">
        <v>27</v>
      </c>
    </row>
    <row r="13" customFormat="false" ht="29.25" hidden="false" customHeight="true" outlineLevel="0" collapsed="false">
      <c r="A13" s="13" t="s">
        <v>81</v>
      </c>
      <c r="B13" s="17" t="s">
        <v>96</v>
      </c>
      <c r="C13" s="8" t="s">
        <v>565</v>
      </c>
      <c r="D13" s="8" t="s">
        <v>515</v>
      </c>
      <c r="E13" s="5" t="s">
        <v>566</v>
      </c>
      <c r="F13" s="5" t="s">
        <v>515</v>
      </c>
      <c r="G13" s="5" t="s">
        <v>495</v>
      </c>
      <c r="H13" s="5" t="s">
        <v>567</v>
      </c>
      <c r="I13" s="4" t="s">
        <v>568</v>
      </c>
      <c r="J13" s="5" t="s">
        <v>551</v>
      </c>
      <c r="K13" s="4" t="s">
        <v>569</v>
      </c>
      <c r="L13" s="5" t="s">
        <v>570</v>
      </c>
    </row>
    <row r="14" customFormat="false" ht="15" hidden="false" customHeight="true" outlineLevel="0" collapsed="false">
      <c r="A14" s="13" t="s">
        <v>81</v>
      </c>
      <c r="B14" s="17" t="s">
        <v>96</v>
      </c>
      <c r="C14" s="8" t="s">
        <v>571</v>
      </c>
      <c r="D14" s="8" t="s">
        <v>515</v>
      </c>
      <c r="E14" s="5" t="s">
        <v>572</v>
      </c>
      <c r="F14" s="5" t="s">
        <v>515</v>
      </c>
      <c r="G14" s="5" t="s">
        <v>495</v>
      </c>
      <c r="H14" s="4" t="s">
        <v>501</v>
      </c>
      <c r="I14" s="4" t="s">
        <v>573</v>
      </c>
      <c r="J14" s="5" t="s">
        <v>511</v>
      </c>
      <c r="K14" s="4" t="s">
        <v>574</v>
      </c>
      <c r="L14" s="5" t="s">
        <v>27</v>
      </c>
    </row>
    <row r="15" customFormat="false" ht="23.25" hidden="false" customHeight="true" outlineLevel="0" collapsed="false">
      <c r="A15" s="13" t="s">
        <v>84</v>
      </c>
      <c r="B15" s="14" t="s">
        <v>79</v>
      </c>
      <c r="C15" s="8" t="s">
        <v>575</v>
      </c>
      <c r="D15" s="8" t="s">
        <v>576</v>
      </c>
      <c r="E15" s="5" t="s">
        <v>577</v>
      </c>
      <c r="F15" s="5" t="s">
        <v>576</v>
      </c>
      <c r="G15" s="4" t="s">
        <v>578</v>
      </c>
      <c r="H15" s="5" t="s">
        <v>579</v>
      </c>
      <c r="I15" s="4" t="s">
        <v>580</v>
      </c>
      <c r="J15" s="5" t="s">
        <v>120</v>
      </c>
      <c r="K15" s="4" t="s">
        <v>581</v>
      </c>
      <c r="L15" s="5" t="s">
        <v>582</v>
      </c>
    </row>
    <row r="16" customFormat="false" ht="43.5" hidden="false" customHeight="true" outlineLevel="0" collapsed="false">
      <c r="A16" s="13" t="s">
        <v>84</v>
      </c>
      <c r="B16" s="14" t="s">
        <v>79</v>
      </c>
      <c r="C16" s="8" t="s">
        <v>583</v>
      </c>
      <c r="D16" s="8" t="s">
        <v>576</v>
      </c>
      <c r="E16" s="5" t="s">
        <v>584</v>
      </c>
      <c r="F16" s="5" t="s">
        <v>576</v>
      </c>
      <c r="G16" s="4" t="s">
        <v>585</v>
      </c>
      <c r="H16" s="4" t="s">
        <v>501</v>
      </c>
      <c r="I16" s="4" t="s">
        <v>586</v>
      </c>
      <c r="J16" s="5" t="s">
        <v>120</v>
      </c>
      <c r="K16" s="4" t="s">
        <v>587</v>
      </c>
      <c r="L16" s="5" t="s">
        <v>582</v>
      </c>
    </row>
    <row r="17" customFormat="false" ht="29.25" hidden="false" customHeight="true" outlineLevel="0" collapsed="false">
      <c r="A17" s="13" t="s">
        <v>84</v>
      </c>
      <c r="B17" s="15" t="s">
        <v>89</v>
      </c>
      <c r="C17" s="8" t="s">
        <v>588</v>
      </c>
      <c r="D17" s="8" t="s">
        <v>576</v>
      </c>
      <c r="E17" s="5" t="s">
        <v>561</v>
      </c>
      <c r="F17" s="5" t="s">
        <v>576</v>
      </c>
      <c r="G17" s="5" t="s">
        <v>495</v>
      </c>
      <c r="H17" s="5" t="s">
        <v>589</v>
      </c>
      <c r="I17" s="4" t="s">
        <v>590</v>
      </c>
      <c r="J17" s="5" t="s">
        <v>564</v>
      </c>
      <c r="K17" s="5" t="s">
        <v>591</v>
      </c>
      <c r="L17" s="5" t="s">
        <v>553</v>
      </c>
    </row>
    <row r="18" customFormat="false" ht="29.25" hidden="false" customHeight="true" outlineLevel="0" collapsed="false">
      <c r="A18" s="13" t="s">
        <v>124</v>
      </c>
      <c r="B18" s="15" t="s">
        <v>89</v>
      </c>
      <c r="C18" s="8" t="s">
        <v>592</v>
      </c>
      <c r="D18" s="8" t="s">
        <v>593</v>
      </c>
      <c r="E18" s="5" t="s">
        <v>594</v>
      </c>
      <c r="F18" s="5" t="s">
        <v>593</v>
      </c>
      <c r="G18" s="4" t="s">
        <v>595</v>
      </c>
      <c r="H18" s="4" t="s">
        <v>501</v>
      </c>
      <c r="I18" s="4" t="s">
        <v>596</v>
      </c>
      <c r="J18" s="5" t="s">
        <v>126</v>
      </c>
      <c r="K18" s="5" t="s">
        <v>597</v>
      </c>
      <c r="L18" s="5" t="s">
        <v>53</v>
      </c>
    </row>
    <row r="19" customFormat="false" ht="29.25" hidden="false" customHeight="true" outlineLevel="0" collapsed="false">
      <c r="A19" s="13" t="s">
        <v>87</v>
      </c>
      <c r="B19" s="14" t="s">
        <v>79</v>
      </c>
      <c r="C19" s="8" t="s">
        <v>598</v>
      </c>
      <c r="D19" s="8" t="s">
        <v>599</v>
      </c>
      <c r="E19" s="5" t="s">
        <v>600</v>
      </c>
      <c r="F19" s="4" t="s">
        <v>501</v>
      </c>
      <c r="G19" s="4" t="s">
        <v>601</v>
      </c>
      <c r="H19" s="5" t="s">
        <v>602</v>
      </c>
      <c r="I19" s="4" t="s">
        <v>603</v>
      </c>
      <c r="J19" s="5" t="s">
        <v>604</v>
      </c>
      <c r="K19" s="4" t="s">
        <v>605</v>
      </c>
      <c r="L19" s="5" t="s">
        <v>606</v>
      </c>
    </row>
    <row r="20" customFormat="false" ht="86.25" hidden="false" customHeight="true" outlineLevel="0" collapsed="false">
      <c r="A20" s="13" t="s">
        <v>121</v>
      </c>
      <c r="B20" s="15" t="s">
        <v>89</v>
      </c>
      <c r="C20" s="8" t="s">
        <v>607</v>
      </c>
      <c r="D20" s="8" t="s">
        <v>608</v>
      </c>
      <c r="E20" s="5" t="s">
        <v>609</v>
      </c>
      <c r="F20" s="4" t="s">
        <v>610</v>
      </c>
      <c r="G20" s="5" t="s">
        <v>495</v>
      </c>
      <c r="H20" s="4" t="s">
        <v>611</v>
      </c>
      <c r="I20" s="5" t="s">
        <v>612</v>
      </c>
      <c r="J20" s="5" t="s">
        <v>613</v>
      </c>
      <c r="K20" s="5" t="s">
        <v>614</v>
      </c>
      <c r="L20" s="5" t="s">
        <v>49</v>
      </c>
    </row>
    <row r="21" customFormat="false" ht="23.25" hidden="false" customHeight="true" outlineLevel="0" collapsed="false">
      <c r="A21" s="13" t="s">
        <v>121</v>
      </c>
      <c r="B21" s="15" t="s">
        <v>89</v>
      </c>
      <c r="C21" s="8" t="s">
        <v>615</v>
      </c>
      <c r="D21" s="8" t="s">
        <v>608</v>
      </c>
      <c r="E21" s="5" t="s">
        <v>616</v>
      </c>
      <c r="F21" s="4" t="s">
        <v>501</v>
      </c>
      <c r="G21" s="5" t="s">
        <v>495</v>
      </c>
      <c r="H21" s="5" t="s">
        <v>617</v>
      </c>
      <c r="I21" s="4" t="s">
        <v>618</v>
      </c>
      <c r="J21" s="5" t="s">
        <v>613</v>
      </c>
      <c r="K21" s="4"/>
      <c r="L21" s="5" t="s">
        <v>49</v>
      </c>
    </row>
    <row r="22" customFormat="false" ht="43.5" hidden="false" customHeight="true" outlineLevel="0" collapsed="false">
      <c r="A22" s="13" t="s">
        <v>121</v>
      </c>
      <c r="B22" s="15" t="s">
        <v>89</v>
      </c>
      <c r="C22" s="8" t="s">
        <v>619</v>
      </c>
      <c r="D22" s="8" t="s">
        <v>620</v>
      </c>
      <c r="E22" s="5" t="s">
        <v>621</v>
      </c>
      <c r="F22" s="4" t="s">
        <v>610</v>
      </c>
      <c r="G22" s="4" t="s">
        <v>501</v>
      </c>
      <c r="H22" s="5" t="s">
        <v>622</v>
      </c>
      <c r="I22" s="4" t="s">
        <v>623</v>
      </c>
      <c r="J22" s="5" t="s">
        <v>613</v>
      </c>
      <c r="K22" s="4" t="s">
        <v>624</v>
      </c>
      <c r="L22" s="5" t="s">
        <v>49</v>
      </c>
    </row>
    <row r="23" customFormat="false" ht="43.5" hidden="false" customHeight="true" outlineLevel="0" collapsed="false">
      <c r="A23" s="13" t="s">
        <v>87</v>
      </c>
      <c r="B23" s="14" t="s">
        <v>79</v>
      </c>
      <c r="C23" s="8" t="s">
        <v>625</v>
      </c>
      <c r="D23" s="8" t="s">
        <v>626</v>
      </c>
      <c r="E23" s="5" t="s">
        <v>627</v>
      </c>
      <c r="F23" s="5" t="s">
        <v>626</v>
      </c>
      <c r="G23" s="4" t="s">
        <v>628</v>
      </c>
      <c r="H23" s="4" t="s">
        <v>629</v>
      </c>
      <c r="I23" s="4" t="s">
        <v>630</v>
      </c>
      <c r="J23" s="5" t="s">
        <v>83</v>
      </c>
      <c r="K23" s="4" t="s">
        <v>631</v>
      </c>
      <c r="L23" s="5" t="s">
        <v>632</v>
      </c>
    </row>
  </sheetData>
  <autoFilter ref="A1:L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9"/>
    <col collapsed="false" customWidth="true" hidden="false" outlineLevel="0" max="3" min="3" style="1" width="6"/>
    <col collapsed="false" customWidth="true" hidden="false" outlineLevel="0" max="4" min="4" style="1" width="13"/>
    <col collapsed="false" customWidth="true" hidden="false" outlineLevel="0" max="5" min="5" style="1" width="30"/>
    <col collapsed="false" customWidth="true" hidden="false" outlineLevel="0" max="6" min="6" style="1" width="28"/>
    <col collapsed="false" customWidth="true" hidden="false" outlineLevel="0" max="7" min="7" style="1" width="36"/>
    <col collapsed="false" customWidth="true" hidden="false" outlineLevel="0" max="8" min="8" style="1" width="44"/>
    <col collapsed="false" customWidth="true" hidden="false" outlineLevel="0" max="9" min="9" style="1" width="14"/>
    <col collapsed="false" customWidth="true" hidden="false" outlineLevel="0" max="10" min="10" style="1" width="20"/>
    <col collapsed="false" customWidth="true" hidden="false" outlineLevel="0" max="11" min="11" style="1" width="44"/>
    <col collapsed="false" customWidth="true" hidden="false" outlineLevel="0" max="12" min="12" style="1" width="14"/>
    <col collapsed="false" customWidth="true" hidden="false" outlineLevel="0" max="13" min="13" style="1" width="11"/>
  </cols>
  <sheetData>
    <row r="1" customFormat="false" ht="29.25" hidden="false" customHeight="true" outlineLevel="0" collapsed="false">
      <c r="A1" s="7" t="s">
        <v>71</v>
      </c>
      <c r="B1" s="7" t="s">
        <v>73</v>
      </c>
      <c r="C1" s="20" t="s">
        <v>480</v>
      </c>
      <c r="D1" s="7" t="s">
        <v>633</v>
      </c>
      <c r="E1" s="7" t="s">
        <v>634</v>
      </c>
      <c r="F1" s="7" t="s">
        <v>484</v>
      </c>
      <c r="G1" s="7" t="s">
        <v>635</v>
      </c>
      <c r="H1" s="7" t="s">
        <v>636</v>
      </c>
      <c r="I1" s="7" t="s">
        <v>637</v>
      </c>
      <c r="J1" s="7" t="s">
        <v>638</v>
      </c>
      <c r="K1" s="7" t="s">
        <v>639</v>
      </c>
      <c r="L1" s="7" t="s">
        <v>489</v>
      </c>
      <c r="M1" s="7" t="s">
        <v>23</v>
      </c>
    </row>
    <row r="2" customFormat="false" ht="72" hidden="false" customHeight="true" outlineLevel="0" collapsed="false">
      <c r="A2" s="13" t="s">
        <v>81</v>
      </c>
      <c r="B2" s="14" t="s">
        <v>79</v>
      </c>
      <c r="C2" s="8" t="s">
        <v>640</v>
      </c>
      <c r="D2" s="5" t="s">
        <v>83</v>
      </c>
      <c r="E2" s="5" t="s">
        <v>641</v>
      </c>
      <c r="F2" s="4" t="s">
        <v>501</v>
      </c>
      <c r="G2" s="5" t="s">
        <v>642</v>
      </c>
      <c r="H2" s="4" t="s">
        <v>643</v>
      </c>
      <c r="I2" s="4" t="s">
        <v>501</v>
      </c>
      <c r="J2" s="4" t="s">
        <v>501</v>
      </c>
      <c r="K2" s="4" t="s">
        <v>644</v>
      </c>
      <c r="L2" s="5" t="s">
        <v>27</v>
      </c>
      <c r="M2" s="5" t="s">
        <v>645</v>
      </c>
    </row>
    <row r="3" customFormat="false" ht="29.25" hidden="false" customHeight="true" outlineLevel="0" collapsed="false">
      <c r="A3" s="13" t="s">
        <v>34</v>
      </c>
      <c r="B3" s="14" t="s">
        <v>79</v>
      </c>
      <c r="C3" s="8" t="s">
        <v>646</v>
      </c>
      <c r="D3" s="5" t="s">
        <v>83</v>
      </c>
      <c r="E3" s="5" t="s">
        <v>647</v>
      </c>
      <c r="F3" s="4" t="s">
        <v>648</v>
      </c>
      <c r="G3" s="4" t="s">
        <v>649</v>
      </c>
      <c r="H3" s="4" t="s">
        <v>650</v>
      </c>
      <c r="I3" s="4" t="s">
        <v>651</v>
      </c>
      <c r="J3" s="4" t="s">
        <v>501</v>
      </c>
      <c r="K3" s="4" t="s">
        <v>652</v>
      </c>
      <c r="L3" s="5" t="s">
        <v>653</v>
      </c>
      <c r="M3" s="5" t="s">
        <v>645</v>
      </c>
    </row>
    <row r="4" customFormat="false" ht="29.25" hidden="false" customHeight="true" outlineLevel="0" collapsed="false">
      <c r="A4" s="13" t="s">
        <v>104</v>
      </c>
      <c r="B4" s="14" t="s">
        <v>79</v>
      </c>
      <c r="C4" s="8" t="s">
        <v>654</v>
      </c>
      <c r="D4" s="5" t="s">
        <v>83</v>
      </c>
      <c r="E4" s="5" t="s">
        <v>655</v>
      </c>
      <c r="F4" s="4" t="s">
        <v>656</v>
      </c>
      <c r="G4" s="4" t="s">
        <v>657</v>
      </c>
      <c r="H4" s="4" t="s">
        <v>658</v>
      </c>
      <c r="I4" s="4" t="s">
        <v>659</v>
      </c>
      <c r="J4" s="4" t="s">
        <v>501</v>
      </c>
      <c r="K4" s="4" t="s">
        <v>660</v>
      </c>
      <c r="L4" s="5" t="s">
        <v>661</v>
      </c>
      <c r="M4" s="5" t="s">
        <v>645</v>
      </c>
    </row>
    <row r="5" customFormat="false" ht="29.25" hidden="false" customHeight="true" outlineLevel="0" collapsed="false">
      <c r="A5" s="13" t="s">
        <v>34</v>
      </c>
      <c r="B5" s="14" t="s">
        <v>79</v>
      </c>
      <c r="C5" s="8" t="s">
        <v>662</v>
      </c>
      <c r="D5" s="5" t="s">
        <v>83</v>
      </c>
      <c r="E5" s="5" t="s">
        <v>663</v>
      </c>
      <c r="F5" s="4" t="s">
        <v>537</v>
      </c>
      <c r="G5" s="4" t="s">
        <v>538</v>
      </c>
      <c r="H5" s="4" t="s">
        <v>539</v>
      </c>
      <c r="I5" s="4" t="s">
        <v>664</v>
      </c>
      <c r="J5" s="4" t="s">
        <v>501</v>
      </c>
      <c r="K5" s="5" t="s">
        <v>665</v>
      </c>
      <c r="L5" s="5" t="s">
        <v>33</v>
      </c>
      <c r="M5" s="5" t="s">
        <v>645</v>
      </c>
    </row>
    <row r="6" customFormat="false" ht="29.25" hidden="false" customHeight="true" outlineLevel="0" collapsed="false">
      <c r="A6" s="13" t="s">
        <v>34</v>
      </c>
      <c r="B6" s="14" t="s">
        <v>79</v>
      </c>
      <c r="C6" s="8" t="s">
        <v>666</v>
      </c>
      <c r="D6" s="5" t="s">
        <v>83</v>
      </c>
      <c r="E6" s="5" t="s">
        <v>667</v>
      </c>
      <c r="F6" s="4" t="s">
        <v>543</v>
      </c>
      <c r="G6" s="4" t="s">
        <v>668</v>
      </c>
      <c r="H6" s="4" t="s">
        <v>669</v>
      </c>
      <c r="I6" s="4" t="s">
        <v>670</v>
      </c>
      <c r="J6" s="5" t="s">
        <v>671</v>
      </c>
      <c r="K6" s="4" t="s">
        <v>672</v>
      </c>
      <c r="L6" s="5" t="s">
        <v>33</v>
      </c>
      <c r="M6" s="5" t="s">
        <v>645</v>
      </c>
    </row>
    <row r="7" customFormat="false" ht="43.5" hidden="false" customHeight="true" outlineLevel="0" collapsed="false">
      <c r="A7" s="13" t="s">
        <v>87</v>
      </c>
      <c r="B7" s="14" t="s">
        <v>79</v>
      </c>
      <c r="C7" s="8" t="s">
        <v>673</v>
      </c>
      <c r="D7" s="5" t="s">
        <v>83</v>
      </c>
      <c r="E7" s="5" t="s">
        <v>674</v>
      </c>
      <c r="F7" s="4" t="s">
        <v>675</v>
      </c>
      <c r="G7" s="4" t="s">
        <v>676</v>
      </c>
      <c r="H7" s="4" t="s">
        <v>677</v>
      </c>
      <c r="I7" s="4" t="s">
        <v>501</v>
      </c>
      <c r="J7" s="5" t="s">
        <v>678</v>
      </c>
      <c r="K7" s="5" t="s">
        <v>679</v>
      </c>
      <c r="L7" s="5" t="s">
        <v>680</v>
      </c>
      <c r="M7" s="5" t="s">
        <v>645</v>
      </c>
    </row>
    <row r="8" customFormat="false" ht="57.75" hidden="false" customHeight="true" outlineLevel="0" collapsed="false">
      <c r="A8" s="13" t="s">
        <v>87</v>
      </c>
      <c r="B8" s="14" t="s">
        <v>79</v>
      </c>
      <c r="C8" s="8" t="s">
        <v>681</v>
      </c>
      <c r="D8" s="5" t="s">
        <v>83</v>
      </c>
      <c r="E8" s="5" t="s">
        <v>682</v>
      </c>
      <c r="F8" s="4" t="s">
        <v>683</v>
      </c>
      <c r="G8" s="4" t="s">
        <v>684</v>
      </c>
      <c r="H8" s="5" t="s">
        <v>685</v>
      </c>
      <c r="I8" s="4" t="s">
        <v>501</v>
      </c>
      <c r="J8" s="4" t="s">
        <v>501</v>
      </c>
      <c r="K8" s="4" t="s">
        <v>686</v>
      </c>
      <c r="L8" s="5" t="s">
        <v>31</v>
      </c>
      <c r="M8" s="5" t="s">
        <v>645</v>
      </c>
    </row>
    <row r="9" customFormat="false" ht="15.75" hidden="false" customHeight="true" outlineLevel="0" collapsed="false">
      <c r="A9" s="13" t="s">
        <v>84</v>
      </c>
      <c r="B9" s="14" t="s">
        <v>79</v>
      </c>
      <c r="C9" s="8" t="s">
        <v>687</v>
      </c>
      <c r="D9" s="5" t="s">
        <v>120</v>
      </c>
      <c r="E9" s="5" t="s">
        <v>688</v>
      </c>
      <c r="F9" s="4" t="s">
        <v>501</v>
      </c>
      <c r="G9" s="4" t="s">
        <v>689</v>
      </c>
      <c r="H9" s="4" t="s">
        <v>690</v>
      </c>
      <c r="I9" s="4" t="s">
        <v>501</v>
      </c>
      <c r="J9" s="4" t="s">
        <v>501</v>
      </c>
      <c r="K9" s="4"/>
      <c r="L9" s="4" t="s">
        <v>691</v>
      </c>
      <c r="M9" s="5" t="s">
        <v>692</v>
      </c>
    </row>
    <row r="10" customFormat="false" ht="29.25" hidden="false" customHeight="true" outlineLevel="0" collapsed="false">
      <c r="A10" s="13" t="s">
        <v>84</v>
      </c>
      <c r="B10" s="14" t="s">
        <v>79</v>
      </c>
      <c r="C10" s="8" t="s">
        <v>693</v>
      </c>
      <c r="D10" s="5" t="s">
        <v>120</v>
      </c>
      <c r="E10" s="5" t="s">
        <v>694</v>
      </c>
      <c r="F10" s="4" t="s">
        <v>695</v>
      </c>
      <c r="G10" s="4" t="s">
        <v>696</v>
      </c>
      <c r="H10" s="4" t="s">
        <v>697</v>
      </c>
      <c r="I10" s="4" t="s">
        <v>501</v>
      </c>
      <c r="J10" s="4" t="s">
        <v>698</v>
      </c>
      <c r="K10" s="4" t="s">
        <v>699</v>
      </c>
      <c r="L10" s="4" t="s">
        <v>691</v>
      </c>
      <c r="M10" s="5" t="s">
        <v>692</v>
      </c>
    </row>
    <row r="11" customFormat="false" ht="15.75" hidden="false" customHeight="true" outlineLevel="0" collapsed="false">
      <c r="A11" s="13" t="s">
        <v>115</v>
      </c>
      <c r="B11" s="14" t="s">
        <v>79</v>
      </c>
      <c r="C11" s="8" t="s">
        <v>700</v>
      </c>
      <c r="D11" s="5" t="s">
        <v>120</v>
      </c>
      <c r="E11" s="5" t="s">
        <v>701</v>
      </c>
      <c r="F11" s="4" t="s">
        <v>702</v>
      </c>
      <c r="G11" s="4" t="s">
        <v>501</v>
      </c>
      <c r="H11" s="4" t="s">
        <v>703</v>
      </c>
      <c r="I11" s="4" t="s">
        <v>501</v>
      </c>
      <c r="J11" s="5" t="s">
        <v>678</v>
      </c>
      <c r="K11" s="4"/>
      <c r="L11" s="5" t="s">
        <v>704</v>
      </c>
      <c r="M11" s="5" t="s">
        <v>692</v>
      </c>
    </row>
    <row r="12" customFormat="false" ht="29.25" hidden="false" customHeight="true" outlineLevel="0" collapsed="false">
      <c r="A12" s="13" t="s">
        <v>118</v>
      </c>
      <c r="B12" s="14" t="s">
        <v>79</v>
      </c>
      <c r="C12" s="8" t="s">
        <v>705</v>
      </c>
      <c r="D12" s="5" t="s">
        <v>120</v>
      </c>
      <c r="E12" s="5" t="s">
        <v>706</v>
      </c>
      <c r="F12" s="4" t="s">
        <v>702</v>
      </c>
      <c r="G12" s="5" t="s">
        <v>707</v>
      </c>
      <c r="H12" s="4" t="s">
        <v>708</v>
      </c>
      <c r="I12" s="4" t="s">
        <v>501</v>
      </c>
      <c r="J12" s="5" t="s">
        <v>709</v>
      </c>
      <c r="K12" s="4" t="s">
        <v>710</v>
      </c>
      <c r="L12" s="5" t="s">
        <v>711</v>
      </c>
      <c r="M12" s="5" t="s">
        <v>692</v>
      </c>
    </row>
    <row r="13" customFormat="false" ht="15.75" hidden="false" customHeight="true" outlineLevel="0" collapsed="false">
      <c r="A13" s="13" t="s">
        <v>115</v>
      </c>
      <c r="B13" s="14" t="s">
        <v>79</v>
      </c>
      <c r="C13" s="8" t="s">
        <v>712</v>
      </c>
      <c r="D13" s="5" t="s">
        <v>120</v>
      </c>
      <c r="E13" s="5" t="s">
        <v>713</v>
      </c>
      <c r="F13" s="4" t="s">
        <v>702</v>
      </c>
      <c r="G13" s="4" t="s">
        <v>501</v>
      </c>
      <c r="H13" s="5" t="s">
        <v>714</v>
      </c>
      <c r="I13" s="4" t="s">
        <v>501</v>
      </c>
      <c r="J13" s="5" t="s">
        <v>715</v>
      </c>
      <c r="K13" s="4"/>
      <c r="L13" s="5" t="s">
        <v>37</v>
      </c>
      <c r="M13" s="5" t="s">
        <v>692</v>
      </c>
    </row>
    <row r="14" customFormat="false" ht="29.25" hidden="false" customHeight="true" outlineLevel="0" collapsed="false">
      <c r="A14" s="13" t="s">
        <v>107</v>
      </c>
      <c r="B14" s="14" t="s">
        <v>79</v>
      </c>
      <c r="C14" s="8" t="s">
        <v>716</v>
      </c>
      <c r="D14" s="5" t="s">
        <v>120</v>
      </c>
      <c r="E14" s="5" t="s">
        <v>717</v>
      </c>
      <c r="F14" s="4" t="s">
        <v>702</v>
      </c>
      <c r="G14" s="4" t="s">
        <v>501</v>
      </c>
      <c r="H14" s="4" t="s">
        <v>718</v>
      </c>
      <c r="I14" s="4" t="s">
        <v>501</v>
      </c>
      <c r="J14" s="5" t="s">
        <v>719</v>
      </c>
      <c r="K14" s="4" t="s">
        <v>720</v>
      </c>
      <c r="L14" s="5" t="s">
        <v>721</v>
      </c>
      <c r="M14" s="5" t="s">
        <v>692</v>
      </c>
    </row>
    <row r="15" customFormat="false" ht="57.75" hidden="false" customHeight="true" outlineLevel="0" collapsed="false">
      <c r="A15" s="13" t="s">
        <v>107</v>
      </c>
      <c r="B15" s="14" t="s">
        <v>79</v>
      </c>
      <c r="C15" s="8" t="s">
        <v>722</v>
      </c>
      <c r="D15" s="5" t="s">
        <v>120</v>
      </c>
      <c r="E15" s="5" t="s">
        <v>723</v>
      </c>
      <c r="F15" s="5" t="s">
        <v>724</v>
      </c>
      <c r="G15" s="4" t="s">
        <v>725</v>
      </c>
      <c r="H15" s="4" t="s">
        <v>726</v>
      </c>
      <c r="I15" s="4" t="s">
        <v>501</v>
      </c>
      <c r="J15" s="5" t="s">
        <v>727</v>
      </c>
      <c r="K15" s="5" t="s">
        <v>728</v>
      </c>
      <c r="L15" s="5" t="s">
        <v>729</v>
      </c>
      <c r="M15" s="5" t="s">
        <v>692</v>
      </c>
    </row>
    <row r="16" customFormat="false" ht="29.25" hidden="false" customHeight="true" outlineLevel="0" collapsed="false">
      <c r="A16" s="13" t="s">
        <v>109</v>
      </c>
      <c r="B16" s="14" t="s">
        <v>79</v>
      </c>
      <c r="C16" s="8" t="s">
        <v>730</v>
      </c>
      <c r="D16" s="5" t="s">
        <v>120</v>
      </c>
      <c r="E16" s="5" t="s">
        <v>731</v>
      </c>
      <c r="F16" s="4" t="s">
        <v>732</v>
      </c>
      <c r="G16" s="4" t="s">
        <v>501</v>
      </c>
      <c r="H16" s="4" t="s">
        <v>733</v>
      </c>
      <c r="I16" s="4" t="s">
        <v>501</v>
      </c>
      <c r="J16" s="5" t="s">
        <v>734</v>
      </c>
      <c r="K16" s="4"/>
      <c r="L16" s="5" t="s">
        <v>729</v>
      </c>
      <c r="M16" s="5" t="s">
        <v>692</v>
      </c>
    </row>
    <row r="17" customFormat="false" ht="45.75" hidden="false" customHeight="true" outlineLevel="0" collapsed="false">
      <c r="A17" s="13" t="s">
        <v>84</v>
      </c>
      <c r="B17" s="14" t="s">
        <v>79</v>
      </c>
      <c r="C17" s="8" t="s">
        <v>735</v>
      </c>
      <c r="D17" s="5" t="s">
        <v>120</v>
      </c>
      <c r="E17" s="5" t="s">
        <v>736</v>
      </c>
      <c r="F17" s="4" t="s">
        <v>737</v>
      </c>
      <c r="G17" s="4" t="s">
        <v>738</v>
      </c>
      <c r="H17" s="4" t="s">
        <v>739</v>
      </c>
      <c r="I17" s="4" t="s">
        <v>501</v>
      </c>
      <c r="J17" s="5" t="s">
        <v>740</v>
      </c>
      <c r="K17" s="5" t="s">
        <v>741</v>
      </c>
      <c r="L17" s="5" t="s">
        <v>27</v>
      </c>
      <c r="M17" s="5" t="s">
        <v>692</v>
      </c>
    </row>
    <row r="18" customFormat="false" ht="43.5" hidden="false" customHeight="true" outlineLevel="0" collapsed="false">
      <c r="A18" s="13" t="s">
        <v>94</v>
      </c>
      <c r="B18" s="17" t="s">
        <v>96</v>
      </c>
      <c r="C18" s="8" t="s">
        <v>742</v>
      </c>
      <c r="D18" s="5" t="s">
        <v>97</v>
      </c>
      <c r="E18" s="5" t="s">
        <v>743</v>
      </c>
      <c r="F18" s="4" t="s">
        <v>744</v>
      </c>
      <c r="G18" s="5" t="s">
        <v>745</v>
      </c>
      <c r="H18" s="4" t="s">
        <v>746</v>
      </c>
      <c r="I18" s="4" t="s">
        <v>501</v>
      </c>
      <c r="J18" s="4" t="s">
        <v>501</v>
      </c>
      <c r="K18" s="4" t="s">
        <v>747</v>
      </c>
      <c r="L18" s="5" t="s">
        <v>39</v>
      </c>
      <c r="M18" s="5" t="s">
        <v>748</v>
      </c>
    </row>
    <row r="19" customFormat="false" ht="29.25" hidden="false" customHeight="true" outlineLevel="0" collapsed="false">
      <c r="A19" s="13" t="s">
        <v>94</v>
      </c>
      <c r="B19" s="17" t="s">
        <v>96</v>
      </c>
      <c r="C19" s="8" t="s">
        <v>749</v>
      </c>
      <c r="D19" s="5" t="s">
        <v>97</v>
      </c>
      <c r="E19" s="5" t="s">
        <v>750</v>
      </c>
      <c r="F19" s="4" t="s">
        <v>751</v>
      </c>
      <c r="G19" s="5" t="s">
        <v>752</v>
      </c>
      <c r="H19" s="4" t="s">
        <v>753</v>
      </c>
      <c r="I19" s="4" t="s">
        <v>501</v>
      </c>
      <c r="J19" s="4" t="s">
        <v>501</v>
      </c>
      <c r="K19" s="4"/>
      <c r="L19" s="5" t="s">
        <v>39</v>
      </c>
      <c r="M19" s="5" t="s">
        <v>748</v>
      </c>
    </row>
    <row r="20" customFormat="false" ht="86.25" hidden="false" customHeight="true" outlineLevel="0" collapsed="false">
      <c r="A20" s="13" t="s">
        <v>98</v>
      </c>
      <c r="B20" s="16" t="s">
        <v>92</v>
      </c>
      <c r="C20" s="8" t="s">
        <v>754</v>
      </c>
      <c r="D20" s="5" t="s">
        <v>100</v>
      </c>
      <c r="E20" s="5" t="s">
        <v>755</v>
      </c>
      <c r="F20" s="4" t="s">
        <v>756</v>
      </c>
      <c r="G20" s="4" t="s">
        <v>757</v>
      </c>
      <c r="H20" s="4" t="s">
        <v>758</v>
      </c>
      <c r="I20" s="4" t="s">
        <v>501</v>
      </c>
      <c r="J20" s="4" t="s">
        <v>501</v>
      </c>
      <c r="K20" s="5" t="s">
        <v>759</v>
      </c>
      <c r="L20" s="5" t="s">
        <v>39</v>
      </c>
      <c r="M20" s="5" t="s">
        <v>760</v>
      </c>
    </row>
    <row r="21" customFormat="false" ht="43.5" hidden="false" customHeight="true" outlineLevel="0" collapsed="false">
      <c r="A21" s="13" t="s">
        <v>98</v>
      </c>
      <c r="B21" s="16" t="s">
        <v>92</v>
      </c>
      <c r="C21" s="8" t="s">
        <v>761</v>
      </c>
      <c r="D21" s="5" t="s">
        <v>100</v>
      </c>
      <c r="E21" s="5" t="s">
        <v>762</v>
      </c>
      <c r="F21" s="4" t="s">
        <v>763</v>
      </c>
      <c r="G21" s="5" t="s">
        <v>764</v>
      </c>
      <c r="H21" s="4" t="s">
        <v>765</v>
      </c>
      <c r="I21" s="4" t="s">
        <v>501</v>
      </c>
      <c r="J21" s="4" t="s">
        <v>501</v>
      </c>
      <c r="K21" s="5" t="s">
        <v>766</v>
      </c>
      <c r="L21" s="5" t="s">
        <v>767</v>
      </c>
      <c r="M21" s="5" t="s">
        <v>760</v>
      </c>
    </row>
    <row r="22" customFormat="false" ht="57.75" hidden="false" customHeight="true" outlineLevel="0" collapsed="false">
      <c r="A22" s="13" t="s">
        <v>121</v>
      </c>
      <c r="B22" s="16" t="s">
        <v>92</v>
      </c>
      <c r="C22" s="8" t="s">
        <v>768</v>
      </c>
      <c r="D22" s="5" t="s">
        <v>100</v>
      </c>
      <c r="E22" s="5" t="s">
        <v>769</v>
      </c>
      <c r="F22" s="4" t="s">
        <v>770</v>
      </c>
      <c r="G22" s="4" t="s">
        <v>771</v>
      </c>
      <c r="H22" s="4" t="s">
        <v>772</v>
      </c>
      <c r="I22" s="4" t="s">
        <v>501</v>
      </c>
      <c r="J22" s="4" t="s">
        <v>501</v>
      </c>
      <c r="K22" s="5" t="s">
        <v>773</v>
      </c>
      <c r="L22" s="5" t="s">
        <v>49</v>
      </c>
      <c r="M22" s="5" t="s">
        <v>760</v>
      </c>
    </row>
    <row r="23" customFormat="false" ht="100.5" hidden="false" customHeight="true" outlineLevel="0" collapsed="false">
      <c r="A23" s="13" t="s">
        <v>104</v>
      </c>
      <c r="B23" s="14" t="s">
        <v>79</v>
      </c>
      <c r="C23" s="8" t="s">
        <v>774</v>
      </c>
      <c r="D23" s="5" t="s">
        <v>775</v>
      </c>
      <c r="E23" s="5" t="s">
        <v>776</v>
      </c>
      <c r="F23" s="4" t="s">
        <v>777</v>
      </c>
      <c r="G23" s="4" t="s">
        <v>778</v>
      </c>
      <c r="H23" s="4" t="s">
        <v>779</v>
      </c>
      <c r="I23" s="4" t="s">
        <v>780</v>
      </c>
      <c r="J23" s="5" t="s">
        <v>781</v>
      </c>
      <c r="K23" s="4" t="s">
        <v>782</v>
      </c>
      <c r="L23" s="5" t="s">
        <v>513</v>
      </c>
      <c r="M23" s="5" t="s">
        <v>783</v>
      </c>
    </row>
    <row r="24" customFormat="false" ht="86.25" hidden="false" customHeight="true" outlineLevel="0" collapsed="false">
      <c r="A24" s="13" t="s">
        <v>109</v>
      </c>
      <c r="B24" s="14" t="s">
        <v>79</v>
      </c>
      <c r="C24" s="8" t="s">
        <v>784</v>
      </c>
      <c r="D24" s="5" t="s">
        <v>775</v>
      </c>
      <c r="E24" s="5" t="s">
        <v>785</v>
      </c>
      <c r="F24" s="4" t="s">
        <v>786</v>
      </c>
      <c r="G24" s="5" t="s">
        <v>787</v>
      </c>
      <c r="H24" s="4" t="s">
        <v>788</v>
      </c>
      <c r="I24" s="4" t="s">
        <v>789</v>
      </c>
      <c r="J24" s="5" t="s">
        <v>790</v>
      </c>
      <c r="K24" s="4" t="s">
        <v>791</v>
      </c>
      <c r="L24" s="5" t="s">
        <v>57</v>
      </c>
      <c r="M24" s="5" t="s">
        <v>783</v>
      </c>
    </row>
    <row r="25" customFormat="false" ht="29.25" hidden="false" customHeight="true" outlineLevel="0" collapsed="false">
      <c r="A25" s="13" t="s">
        <v>112</v>
      </c>
      <c r="B25" s="17" t="s">
        <v>96</v>
      </c>
      <c r="C25" s="8" t="s">
        <v>792</v>
      </c>
      <c r="D25" s="5" t="s">
        <v>97</v>
      </c>
      <c r="E25" s="5" t="s">
        <v>793</v>
      </c>
      <c r="F25" s="4" t="s">
        <v>794</v>
      </c>
      <c r="G25" s="5" t="s">
        <v>795</v>
      </c>
      <c r="H25" s="4" t="s">
        <v>796</v>
      </c>
      <c r="I25" s="4" t="s">
        <v>501</v>
      </c>
      <c r="J25" s="4" t="s">
        <v>501</v>
      </c>
      <c r="K25" s="4" t="s">
        <v>797</v>
      </c>
      <c r="L25" s="5" t="s">
        <v>51</v>
      </c>
      <c r="M25" s="5" t="s">
        <v>748</v>
      </c>
    </row>
    <row r="26" customFormat="false" ht="29.25" hidden="false" customHeight="true" outlineLevel="0" collapsed="false">
      <c r="A26" s="13" t="s">
        <v>115</v>
      </c>
      <c r="B26" s="17" t="s">
        <v>96</v>
      </c>
      <c r="C26" s="8" t="s">
        <v>798</v>
      </c>
      <c r="D26" s="5" t="s">
        <v>799</v>
      </c>
      <c r="E26" s="5" t="s">
        <v>800</v>
      </c>
      <c r="F26" s="4" t="s">
        <v>801</v>
      </c>
      <c r="G26" s="5" t="s">
        <v>802</v>
      </c>
      <c r="H26" s="4" t="s">
        <v>803</v>
      </c>
      <c r="I26" s="4" t="s">
        <v>501</v>
      </c>
      <c r="J26" s="4" t="s">
        <v>501</v>
      </c>
      <c r="K26" s="5" t="s">
        <v>804</v>
      </c>
      <c r="L26" s="5" t="s">
        <v>37</v>
      </c>
      <c r="M26" s="5" t="s">
        <v>805</v>
      </c>
    </row>
    <row r="27" customFormat="false" ht="29.25" hidden="false" customHeight="true" outlineLevel="0" collapsed="false">
      <c r="A27" s="13" t="s">
        <v>115</v>
      </c>
      <c r="B27" s="17" t="s">
        <v>96</v>
      </c>
      <c r="C27" s="8" t="s">
        <v>806</v>
      </c>
      <c r="D27" s="5" t="s">
        <v>799</v>
      </c>
      <c r="E27" s="5" t="s">
        <v>807</v>
      </c>
      <c r="F27" s="4" t="s">
        <v>808</v>
      </c>
      <c r="G27" s="4" t="s">
        <v>809</v>
      </c>
      <c r="H27" s="5" t="s">
        <v>810</v>
      </c>
      <c r="I27" s="4" t="s">
        <v>501</v>
      </c>
      <c r="J27" s="4" t="s">
        <v>501</v>
      </c>
      <c r="K27" s="5" t="s">
        <v>811</v>
      </c>
      <c r="L27" s="5" t="s">
        <v>37</v>
      </c>
      <c r="M27" s="5" t="s">
        <v>805</v>
      </c>
    </row>
    <row r="28" customFormat="false" ht="29.25" hidden="false" customHeight="true" outlineLevel="0" collapsed="false">
      <c r="A28" s="13" t="s">
        <v>60</v>
      </c>
      <c r="B28" s="15" t="s">
        <v>89</v>
      </c>
      <c r="C28" s="8" t="s">
        <v>812</v>
      </c>
      <c r="D28" s="5" t="s">
        <v>126</v>
      </c>
      <c r="E28" s="5" t="s">
        <v>813</v>
      </c>
      <c r="F28" s="4" t="s">
        <v>814</v>
      </c>
      <c r="G28" s="4" t="s">
        <v>815</v>
      </c>
      <c r="H28" s="4" t="s">
        <v>816</v>
      </c>
      <c r="I28" s="4" t="s">
        <v>501</v>
      </c>
      <c r="J28" s="4" t="s">
        <v>501</v>
      </c>
      <c r="K28" s="4" t="s">
        <v>817</v>
      </c>
      <c r="L28" s="5" t="s">
        <v>59</v>
      </c>
      <c r="M28" s="5" t="s">
        <v>818</v>
      </c>
    </row>
    <row r="29" customFormat="false" ht="29.25" hidden="false" customHeight="true" outlineLevel="0" collapsed="false">
      <c r="A29" s="13" t="s">
        <v>124</v>
      </c>
      <c r="B29" s="15" t="s">
        <v>89</v>
      </c>
      <c r="C29" s="8" t="s">
        <v>819</v>
      </c>
      <c r="D29" s="5" t="s">
        <v>126</v>
      </c>
      <c r="E29" s="5" t="s">
        <v>820</v>
      </c>
      <c r="F29" s="4" t="s">
        <v>821</v>
      </c>
      <c r="G29" s="5" t="s">
        <v>617</v>
      </c>
      <c r="H29" s="5" t="s">
        <v>822</v>
      </c>
      <c r="I29" s="4" t="s">
        <v>501</v>
      </c>
      <c r="J29" s="4" t="s">
        <v>501</v>
      </c>
      <c r="K29" s="4"/>
      <c r="L29" s="5" t="s">
        <v>53</v>
      </c>
      <c r="M29" s="5" t="s">
        <v>818</v>
      </c>
    </row>
    <row r="30" customFormat="false" ht="15.75" hidden="false" customHeight="true" outlineLevel="0" collapsed="false">
      <c r="A30" s="13" t="s">
        <v>124</v>
      </c>
      <c r="B30" s="15" t="s">
        <v>89</v>
      </c>
      <c r="C30" s="8" t="s">
        <v>823</v>
      </c>
      <c r="D30" s="5" t="s">
        <v>126</v>
      </c>
      <c r="E30" s="5" t="s">
        <v>824</v>
      </c>
      <c r="F30" s="4" t="s">
        <v>821</v>
      </c>
      <c r="G30" s="4" t="s">
        <v>501</v>
      </c>
      <c r="H30" s="4" t="s">
        <v>825</v>
      </c>
      <c r="I30" s="4" t="s">
        <v>501</v>
      </c>
      <c r="J30" s="4" t="s">
        <v>501</v>
      </c>
      <c r="K30" s="4" t="s">
        <v>826</v>
      </c>
      <c r="L30" s="5" t="s">
        <v>53</v>
      </c>
      <c r="M30" s="5" t="s">
        <v>818</v>
      </c>
    </row>
    <row r="31" customFormat="false" ht="57.75" hidden="false" customHeight="true" outlineLevel="0" collapsed="false">
      <c r="A31" s="13" t="s">
        <v>128</v>
      </c>
      <c r="B31" s="15" t="s">
        <v>89</v>
      </c>
      <c r="C31" s="8" t="s">
        <v>827</v>
      </c>
      <c r="D31" s="5" t="s">
        <v>564</v>
      </c>
      <c r="E31" s="5" t="s">
        <v>828</v>
      </c>
      <c r="F31" s="4" t="s">
        <v>829</v>
      </c>
      <c r="G31" s="4" t="s">
        <v>501</v>
      </c>
      <c r="H31" s="4" t="s">
        <v>830</v>
      </c>
      <c r="I31" s="4" t="s">
        <v>501</v>
      </c>
      <c r="J31" s="4" t="s">
        <v>501</v>
      </c>
      <c r="K31" s="4" t="s">
        <v>831</v>
      </c>
      <c r="L31" s="5" t="s">
        <v>832</v>
      </c>
      <c r="M31" s="5" t="s">
        <v>833</v>
      </c>
    </row>
    <row r="32" customFormat="false" ht="72" hidden="false" customHeight="true" outlineLevel="0" collapsed="false">
      <c r="A32" s="13" t="s">
        <v>101</v>
      </c>
      <c r="B32" s="15" t="s">
        <v>89</v>
      </c>
      <c r="C32" s="8" t="s">
        <v>834</v>
      </c>
      <c r="D32" s="5" t="s">
        <v>613</v>
      </c>
      <c r="E32" s="5" t="s">
        <v>835</v>
      </c>
      <c r="F32" s="4" t="s">
        <v>836</v>
      </c>
      <c r="G32" s="4" t="s">
        <v>501</v>
      </c>
      <c r="H32" s="4" t="s">
        <v>837</v>
      </c>
      <c r="I32" s="4" t="s">
        <v>501</v>
      </c>
      <c r="J32" s="5" t="s">
        <v>838</v>
      </c>
      <c r="K32" s="5" t="s">
        <v>839</v>
      </c>
      <c r="L32" s="5" t="s">
        <v>840</v>
      </c>
      <c r="M32" s="5" t="s">
        <v>841</v>
      </c>
    </row>
    <row r="33" customFormat="false" ht="29.25" hidden="false" customHeight="true" outlineLevel="0" collapsed="false">
      <c r="A33" s="13" t="s">
        <v>112</v>
      </c>
      <c r="B33" s="17" t="s">
        <v>96</v>
      </c>
      <c r="C33" s="8" t="s">
        <v>842</v>
      </c>
      <c r="D33" s="5" t="s">
        <v>511</v>
      </c>
      <c r="E33" s="5" t="s">
        <v>843</v>
      </c>
      <c r="F33" s="5" t="s">
        <v>549</v>
      </c>
      <c r="G33" s="4" t="s">
        <v>501</v>
      </c>
      <c r="H33" s="4" t="s">
        <v>844</v>
      </c>
      <c r="I33" s="4" t="s">
        <v>501</v>
      </c>
      <c r="J33" s="5" t="s">
        <v>845</v>
      </c>
      <c r="K33" s="4" t="s">
        <v>846</v>
      </c>
      <c r="L33" s="5" t="s">
        <v>51</v>
      </c>
      <c r="M33" s="5" t="s">
        <v>847</v>
      </c>
    </row>
    <row r="34" customFormat="false" ht="43.5" hidden="false" customHeight="true" outlineLevel="0" collapsed="false">
      <c r="A34" s="13" t="s">
        <v>107</v>
      </c>
      <c r="B34" s="17" t="s">
        <v>96</v>
      </c>
      <c r="C34" s="8" t="s">
        <v>848</v>
      </c>
      <c r="D34" s="5" t="s">
        <v>511</v>
      </c>
      <c r="E34" s="5" t="s">
        <v>849</v>
      </c>
      <c r="F34" s="5" t="s">
        <v>850</v>
      </c>
      <c r="G34" s="4" t="s">
        <v>501</v>
      </c>
      <c r="H34" s="4" t="s">
        <v>851</v>
      </c>
      <c r="I34" s="4" t="s">
        <v>501</v>
      </c>
      <c r="J34" s="5" t="s">
        <v>852</v>
      </c>
      <c r="K34" s="4" t="s">
        <v>853</v>
      </c>
      <c r="L34" s="5" t="s">
        <v>43</v>
      </c>
      <c r="M34" s="5" t="s">
        <v>847</v>
      </c>
    </row>
    <row r="35" customFormat="false" ht="29.25" hidden="false" customHeight="true" outlineLevel="0" collapsed="false">
      <c r="A35" s="13" t="s">
        <v>84</v>
      </c>
      <c r="B35" s="17" t="s">
        <v>96</v>
      </c>
      <c r="C35" s="8" t="s">
        <v>854</v>
      </c>
      <c r="D35" s="5" t="s">
        <v>511</v>
      </c>
      <c r="E35" s="5" t="s">
        <v>855</v>
      </c>
      <c r="F35" s="5" t="s">
        <v>856</v>
      </c>
      <c r="G35" s="4" t="s">
        <v>501</v>
      </c>
      <c r="H35" s="4" t="s">
        <v>857</v>
      </c>
      <c r="I35" s="4" t="s">
        <v>501</v>
      </c>
      <c r="J35" s="5" t="s">
        <v>852</v>
      </c>
      <c r="K35" s="4" t="s">
        <v>858</v>
      </c>
      <c r="L35" s="5" t="s">
        <v>27</v>
      </c>
      <c r="M35" s="5" t="s">
        <v>847</v>
      </c>
    </row>
    <row r="36" customFormat="false" ht="29.25" hidden="false" customHeight="true" outlineLevel="0" collapsed="false">
      <c r="A36" s="13" t="s">
        <v>134</v>
      </c>
      <c r="B36" s="16" t="s">
        <v>92</v>
      </c>
      <c r="C36" s="8" t="s">
        <v>859</v>
      </c>
      <c r="D36" s="5" t="s">
        <v>136</v>
      </c>
      <c r="E36" s="5" t="s">
        <v>860</v>
      </c>
      <c r="F36" s="4" t="s">
        <v>861</v>
      </c>
      <c r="G36" s="5" t="s">
        <v>862</v>
      </c>
      <c r="H36" s="4" t="s">
        <v>863</v>
      </c>
      <c r="I36" s="4" t="s">
        <v>501</v>
      </c>
      <c r="J36" s="4" t="s">
        <v>501</v>
      </c>
      <c r="K36" s="4" t="s">
        <v>864</v>
      </c>
      <c r="L36" s="5" t="s">
        <v>63</v>
      </c>
      <c r="M36" s="5" t="s">
        <v>865</v>
      </c>
    </row>
    <row r="37" customFormat="false" ht="43.5" hidden="false" customHeight="true" outlineLevel="0" collapsed="false">
      <c r="A37" s="13" t="s">
        <v>68</v>
      </c>
      <c r="B37" s="15" t="s">
        <v>89</v>
      </c>
      <c r="C37" s="8" t="s">
        <v>866</v>
      </c>
      <c r="D37" s="5" t="s">
        <v>138</v>
      </c>
      <c r="E37" s="5" t="s">
        <v>867</v>
      </c>
      <c r="F37" s="4" t="s">
        <v>868</v>
      </c>
      <c r="G37" s="4" t="s">
        <v>501</v>
      </c>
      <c r="H37" s="5" t="s">
        <v>869</v>
      </c>
      <c r="I37" s="4" t="s">
        <v>659</v>
      </c>
      <c r="J37" s="4" t="s">
        <v>870</v>
      </c>
      <c r="K37" s="4" t="s">
        <v>871</v>
      </c>
      <c r="L37" s="5" t="s">
        <v>67</v>
      </c>
      <c r="M37" s="5" t="s">
        <v>872</v>
      </c>
    </row>
    <row r="38" customFormat="false" ht="43.5" hidden="false" customHeight="true" outlineLevel="0" collapsed="false">
      <c r="A38" s="13" t="s">
        <v>112</v>
      </c>
      <c r="B38" s="16" t="s">
        <v>92</v>
      </c>
      <c r="C38" s="8" t="s">
        <v>873</v>
      </c>
      <c r="D38" s="5" t="s">
        <v>100</v>
      </c>
      <c r="E38" s="5" t="s">
        <v>874</v>
      </c>
      <c r="F38" s="4" t="s">
        <v>875</v>
      </c>
      <c r="G38" s="5" t="s">
        <v>876</v>
      </c>
      <c r="H38" s="4" t="s">
        <v>877</v>
      </c>
      <c r="I38" s="4" t="s">
        <v>501</v>
      </c>
      <c r="J38" s="4" t="s">
        <v>501</v>
      </c>
      <c r="K38" s="4" t="s">
        <v>878</v>
      </c>
      <c r="L38" s="5" t="s">
        <v>51</v>
      </c>
      <c r="M38" s="5" t="s">
        <v>760</v>
      </c>
    </row>
    <row r="39" customFormat="false" ht="29.25" hidden="false" customHeight="true" outlineLevel="0" collapsed="false">
      <c r="A39" s="13" t="s">
        <v>101</v>
      </c>
      <c r="B39" s="14" t="s">
        <v>79</v>
      </c>
      <c r="C39" s="8" t="s">
        <v>879</v>
      </c>
      <c r="D39" s="5" t="s">
        <v>120</v>
      </c>
      <c r="E39" s="5" t="s">
        <v>880</v>
      </c>
      <c r="F39" s="5" t="s">
        <v>881</v>
      </c>
      <c r="G39" s="4" t="s">
        <v>501</v>
      </c>
      <c r="H39" s="4" t="s">
        <v>882</v>
      </c>
      <c r="I39" s="4" t="s">
        <v>501</v>
      </c>
      <c r="J39" s="5" t="s">
        <v>883</v>
      </c>
      <c r="K39" s="4" t="s">
        <v>884</v>
      </c>
      <c r="L39" s="5" t="s">
        <v>41</v>
      </c>
      <c r="M39" s="5" t="s">
        <v>692</v>
      </c>
    </row>
    <row r="40" customFormat="false" ht="15.75" hidden="false" customHeight="true" outlineLevel="0" collapsed="false">
      <c r="A40" s="13" t="s">
        <v>112</v>
      </c>
      <c r="B40" s="14" t="s">
        <v>79</v>
      </c>
      <c r="C40" s="8" t="s">
        <v>885</v>
      </c>
      <c r="D40" s="5" t="s">
        <v>120</v>
      </c>
      <c r="E40" s="5" t="s">
        <v>886</v>
      </c>
      <c r="F40" s="4" t="s">
        <v>887</v>
      </c>
      <c r="G40" s="4" t="s">
        <v>501</v>
      </c>
      <c r="H40" s="5" t="s">
        <v>888</v>
      </c>
      <c r="I40" s="4" t="s">
        <v>501</v>
      </c>
      <c r="J40" s="5" t="s">
        <v>889</v>
      </c>
      <c r="K40" s="4" t="s">
        <v>890</v>
      </c>
      <c r="L40" s="5" t="s">
        <v>51</v>
      </c>
      <c r="M40" s="5" t="s">
        <v>692</v>
      </c>
    </row>
    <row r="41" customFormat="false" ht="29.25" hidden="false" customHeight="true" outlineLevel="0" collapsed="false">
      <c r="A41" s="13" t="s">
        <v>112</v>
      </c>
      <c r="B41" s="14" t="s">
        <v>79</v>
      </c>
      <c r="C41" s="8" t="s">
        <v>891</v>
      </c>
      <c r="D41" s="5" t="s">
        <v>120</v>
      </c>
      <c r="E41" s="5" t="s">
        <v>892</v>
      </c>
      <c r="F41" s="4" t="s">
        <v>893</v>
      </c>
      <c r="G41" s="4" t="s">
        <v>501</v>
      </c>
      <c r="H41" s="4" t="s">
        <v>894</v>
      </c>
      <c r="I41" s="4" t="s">
        <v>501</v>
      </c>
      <c r="J41" s="5" t="s">
        <v>895</v>
      </c>
      <c r="K41" s="4" t="s">
        <v>896</v>
      </c>
      <c r="L41" s="5" t="s">
        <v>553</v>
      </c>
      <c r="M41" s="5" t="s">
        <v>692</v>
      </c>
    </row>
    <row r="42" customFormat="false" ht="43.5" hidden="false" customHeight="true" outlineLevel="0" collapsed="false">
      <c r="A42" s="13" t="s">
        <v>34</v>
      </c>
      <c r="B42" s="14" t="s">
        <v>92</v>
      </c>
      <c r="C42" s="8" t="s">
        <v>897</v>
      </c>
      <c r="D42" s="5" t="s">
        <v>133</v>
      </c>
      <c r="E42" s="5" t="s">
        <v>898</v>
      </c>
      <c r="F42" s="4" t="s">
        <v>899</v>
      </c>
      <c r="G42" s="4" t="s">
        <v>501</v>
      </c>
      <c r="H42" s="4" t="s">
        <v>900</v>
      </c>
      <c r="I42" s="4" t="s">
        <v>901</v>
      </c>
      <c r="J42" s="4" t="s">
        <v>501</v>
      </c>
      <c r="K42" s="4" t="s">
        <v>902</v>
      </c>
      <c r="L42" s="5" t="s">
        <v>903</v>
      </c>
      <c r="M42" s="5" t="s">
        <v>904</v>
      </c>
    </row>
    <row r="43" customFormat="false" ht="43.5" hidden="false" customHeight="true" outlineLevel="0" collapsed="false">
      <c r="A43" s="13" t="s">
        <v>115</v>
      </c>
      <c r="B43" s="14" t="s">
        <v>96</v>
      </c>
      <c r="C43" s="8" t="s">
        <v>905</v>
      </c>
      <c r="D43" s="5" t="s">
        <v>906</v>
      </c>
      <c r="E43" s="5" t="s">
        <v>907</v>
      </c>
      <c r="F43" s="4" t="s">
        <v>908</v>
      </c>
      <c r="G43" s="4" t="s">
        <v>501</v>
      </c>
      <c r="H43" s="4" t="s">
        <v>909</v>
      </c>
      <c r="I43" s="4" t="s">
        <v>501</v>
      </c>
      <c r="J43" s="4" t="s">
        <v>910</v>
      </c>
      <c r="K43" s="4" t="s">
        <v>911</v>
      </c>
      <c r="L43" s="5" t="s">
        <v>37</v>
      </c>
      <c r="M43" s="5" t="s">
        <v>912</v>
      </c>
    </row>
    <row r="44" customFormat="false" ht="43.5" hidden="false" customHeight="true" outlineLevel="0" collapsed="false">
      <c r="A44" s="13" t="s">
        <v>109</v>
      </c>
      <c r="B44" s="14" t="s">
        <v>79</v>
      </c>
      <c r="C44" s="8" t="s">
        <v>913</v>
      </c>
      <c r="D44" s="5" t="s">
        <v>914</v>
      </c>
      <c r="E44" s="5" t="s">
        <v>915</v>
      </c>
      <c r="F44" s="4" t="s">
        <v>916</v>
      </c>
      <c r="G44" s="4" t="s">
        <v>501</v>
      </c>
      <c r="H44" s="4" t="s">
        <v>917</v>
      </c>
      <c r="I44" s="4" t="s">
        <v>918</v>
      </c>
      <c r="J44" s="4" t="s">
        <v>501</v>
      </c>
      <c r="K44" s="4" t="s">
        <v>919</v>
      </c>
      <c r="L44" s="5" t="s">
        <v>729</v>
      </c>
      <c r="M44" s="5" t="s">
        <v>920</v>
      </c>
    </row>
    <row r="45" customFormat="false" ht="43.5" hidden="false" customHeight="true" outlineLevel="0" collapsed="false">
      <c r="A45" s="13" t="s">
        <v>87</v>
      </c>
      <c r="B45" s="14" t="s">
        <v>89</v>
      </c>
      <c r="C45" s="8" t="s">
        <v>921</v>
      </c>
      <c r="D45" s="5" t="s">
        <v>922</v>
      </c>
      <c r="E45" s="5" t="s">
        <v>923</v>
      </c>
      <c r="F45" s="4" t="s">
        <v>924</v>
      </c>
      <c r="G45" s="4" t="s">
        <v>925</v>
      </c>
      <c r="H45" s="4" t="s">
        <v>926</v>
      </c>
      <c r="I45" s="4" t="s">
        <v>501</v>
      </c>
      <c r="J45" s="4" t="s">
        <v>501</v>
      </c>
      <c r="K45" s="4" t="s">
        <v>927</v>
      </c>
      <c r="L45" s="5" t="s">
        <v>31</v>
      </c>
      <c r="M45" s="5" t="s">
        <v>928</v>
      </c>
    </row>
    <row r="46" customFormat="false" ht="43.5" hidden="false" customHeight="true" outlineLevel="0" collapsed="false">
      <c r="A46" s="13" t="s">
        <v>128</v>
      </c>
      <c r="B46" s="14" t="s">
        <v>89</v>
      </c>
      <c r="C46" s="8" t="s">
        <v>929</v>
      </c>
      <c r="D46" s="5" t="s">
        <v>922</v>
      </c>
      <c r="E46" s="5" t="s">
        <v>930</v>
      </c>
      <c r="F46" s="4" t="s">
        <v>931</v>
      </c>
      <c r="G46" s="4" t="s">
        <v>501</v>
      </c>
      <c r="H46" s="4" t="s">
        <v>932</v>
      </c>
      <c r="I46" s="4" t="s">
        <v>501</v>
      </c>
      <c r="J46" s="4" t="s">
        <v>501</v>
      </c>
      <c r="K46" s="4" t="s">
        <v>933</v>
      </c>
      <c r="L46" s="5" t="s">
        <v>934</v>
      </c>
      <c r="M46" s="5" t="s">
        <v>928</v>
      </c>
    </row>
    <row r="47" customFormat="false" ht="43.5" hidden="false" customHeight="true" outlineLevel="0" collapsed="false">
      <c r="A47" s="13" t="s">
        <v>128</v>
      </c>
      <c r="B47" s="14" t="s">
        <v>89</v>
      </c>
      <c r="C47" s="8" t="s">
        <v>935</v>
      </c>
      <c r="D47" s="5" t="s">
        <v>922</v>
      </c>
      <c r="E47" s="5" t="s">
        <v>936</v>
      </c>
      <c r="F47" s="4" t="s">
        <v>937</v>
      </c>
      <c r="G47" s="4" t="s">
        <v>938</v>
      </c>
      <c r="H47" s="4" t="s">
        <v>939</v>
      </c>
      <c r="I47" s="4" t="s">
        <v>501</v>
      </c>
      <c r="J47" s="4" t="s">
        <v>501</v>
      </c>
      <c r="K47" s="4" t="s">
        <v>940</v>
      </c>
      <c r="L47" s="5" t="s">
        <v>55</v>
      </c>
      <c r="M47" s="5" t="s">
        <v>928</v>
      </c>
    </row>
  </sheetData>
  <autoFilter ref="A1:M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9"/>
    <col collapsed="false" customWidth="true" hidden="false" outlineLevel="0" max="3" min="3" style="1" width="18"/>
    <col collapsed="false" customWidth="true" hidden="false" outlineLevel="0" max="4" min="4" style="1" width="58"/>
    <col collapsed="false" customWidth="true" hidden="false" outlineLevel="0" max="5" min="5" style="1" width="44"/>
    <col collapsed="false" customWidth="true" hidden="false" outlineLevel="0" max="6" min="6" style="1" width="26"/>
    <col collapsed="false" customWidth="true" hidden="false" outlineLevel="0" max="7" min="7" style="1" width="14"/>
    <col collapsed="false" customWidth="true" hidden="false" outlineLevel="0" max="8" min="8" style="1" width="18"/>
  </cols>
  <sheetData>
    <row r="1" customFormat="false" ht="26.25" hidden="false" customHeight="true" outlineLevel="0" collapsed="false">
      <c r="A1" s="7" t="s">
        <v>71</v>
      </c>
      <c r="B1" s="7" t="s">
        <v>73</v>
      </c>
      <c r="C1" s="7" t="s">
        <v>941</v>
      </c>
      <c r="D1" s="7" t="s">
        <v>942</v>
      </c>
      <c r="E1" s="7" t="s">
        <v>943</v>
      </c>
      <c r="F1" s="7" t="s">
        <v>944</v>
      </c>
      <c r="G1" s="7" t="s">
        <v>945</v>
      </c>
      <c r="H1" s="7" t="s">
        <v>489</v>
      </c>
    </row>
    <row r="2" customFormat="false" ht="15" hidden="false" customHeight="true" outlineLevel="0" collapsed="false">
      <c r="A2" s="13" t="s">
        <v>118</v>
      </c>
      <c r="B2" s="14" t="s">
        <v>79</v>
      </c>
      <c r="C2" s="5" t="s">
        <v>709</v>
      </c>
      <c r="D2" s="5" t="s">
        <v>946</v>
      </c>
      <c r="E2" s="4" t="s">
        <v>947</v>
      </c>
      <c r="F2" s="4" t="s">
        <v>948</v>
      </c>
      <c r="G2" s="4" t="s">
        <v>948</v>
      </c>
      <c r="H2" s="5" t="s">
        <v>711</v>
      </c>
    </row>
    <row r="3" customFormat="false" ht="15" hidden="false" customHeight="true" outlineLevel="0" collapsed="false">
      <c r="A3" s="13" t="s">
        <v>115</v>
      </c>
      <c r="B3" s="14" t="s">
        <v>79</v>
      </c>
      <c r="C3" s="5" t="s">
        <v>678</v>
      </c>
      <c r="D3" s="5" t="s">
        <v>949</v>
      </c>
      <c r="E3" s="4" t="s">
        <v>950</v>
      </c>
      <c r="F3" s="4" t="s">
        <v>948</v>
      </c>
      <c r="G3" s="4" t="s">
        <v>948</v>
      </c>
      <c r="H3" s="5" t="s">
        <v>951</v>
      </c>
    </row>
    <row r="4" customFormat="false" ht="15" hidden="false" customHeight="true" outlineLevel="0" collapsed="false">
      <c r="A4" s="13" t="s">
        <v>115</v>
      </c>
      <c r="B4" s="14" t="s">
        <v>79</v>
      </c>
      <c r="C4" s="5" t="s">
        <v>715</v>
      </c>
      <c r="D4" s="5" t="s">
        <v>949</v>
      </c>
      <c r="E4" s="5" t="s">
        <v>952</v>
      </c>
      <c r="F4" s="4" t="s">
        <v>948</v>
      </c>
      <c r="G4" s="4" t="s">
        <v>948</v>
      </c>
      <c r="H4" s="5" t="s">
        <v>37</v>
      </c>
    </row>
    <row r="5" customFormat="false" ht="15" hidden="false" customHeight="true" outlineLevel="0" collapsed="false">
      <c r="A5" s="13" t="s">
        <v>107</v>
      </c>
      <c r="B5" s="17" t="s">
        <v>96</v>
      </c>
      <c r="C5" s="5" t="s">
        <v>719</v>
      </c>
      <c r="D5" s="5" t="s">
        <v>949</v>
      </c>
      <c r="E5" s="4" t="s">
        <v>953</v>
      </c>
      <c r="F5" s="4" t="s">
        <v>954</v>
      </c>
      <c r="G5" s="4" t="s">
        <v>948</v>
      </c>
      <c r="H5" s="5" t="s">
        <v>955</v>
      </c>
    </row>
    <row r="6" customFormat="false" ht="15" hidden="false" customHeight="true" outlineLevel="0" collapsed="false">
      <c r="A6" s="13" t="s">
        <v>112</v>
      </c>
      <c r="B6" s="17" t="s">
        <v>96</v>
      </c>
      <c r="C6" s="5" t="s">
        <v>845</v>
      </c>
      <c r="D6" s="5" t="s">
        <v>946</v>
      </c>
      <c r="E6" s="4" t="s">
        <v>956</v>
      </c>
      <c r="F6" s="4" t="s">
        <v>954</v>
      </c>
      <c r="G6" s="4" t="s">
        <v>948</v>
      </c>
      <c r="H6" s="5" t="s">
        <v>51</v>
      </c>
    </row>
    <row r="7" customFormat="false" ht="43.5" hidden="false" customHeight="true" outlineLevel="0" collapsed="false">
      <c r="A7" s="13" t="s">
        <v>112</v>
      </c>
      <c r="B7" s="14" t="s">
        <v>79</v>
      </c>
      <c r="C7" s="5" t="s">
        <v>889</v>
      </c>
      <c r="D7" s="5" t="s">
        <v>946</v>
      </c>
      <c r="E7" s="4" t="s">
        <v>957</v>
      </c>
      <c r="F7" s="4" t="s">
        <v>948</v>
      </c>
      <c r="G7" s="4" t="s">
        <v>948</v>
      </c>
      <c r="H7" s="5" t="s">
        <v>51</v>
      </c>
    </row>
    <row r="8" customFormat="false" ht="15" hidden="false" customHeight="true" outlineLevel="0" collapsed="false">
      <c r="A8" s="13" t="s">
        <v>107</v>
      </c>
      <c r="B8" s="14" t="s">
        <v>79</v>
      </c>
      <c r="C8" s="5" t="s">
        <v>671</v>
      </c>
      <c r="D8" s="5" t="s">
        <v>958</v>
      </c>
      <c r="E8" s="4" t="s">
        <v>959</v>
      </c>
      <c r="F8" s="4" t="s">
        <v>948</v>
      </c>
      <c r="G8" s="4" t="s">
        <v>954</v>
      </c>
      <c r="H8" s="5" t="s">
        <v>729</v>
      </c>
    </row>
    <row r="9" customFormat="false" ht="43.5" hidden="false" customHeight="true" outlineLevel="0" collapsed="false">
      <c r="A9" s="13" t="s">
        <v>109</v>
      </c>
      <c r="B9" s="14" t="s">
        <v>79</v>
      </c>
      <c r="C9" s="5" t="s">
        <v>734</v>
      </c>
      <c r="D9" s="5" t="s">
        <v>960</v>
      </c>
      <c r="E9" s="4" t="s">
        <v>961</v>
      </c>
      <c r="F9" s="4" t="s">
        <v>948</v>
      </c>
      <c r="G9" s="4" t="s">
        <v>948</v>
      </c>
      <c r="H9" s="5" t="s">
        <v>962</v>
      </c>
    </row>
    <row r="10" customFormat="false" ht="15" hidden="false" customHeight="true" outlineLevel="0" collapsed="false">
      <c r="A10" s="13" t="s">
        <v>101</v>
      </c>
      <c r="B10" s="14" t="s">
        <v>79</v>
      </c>
      <c r="C10" s="5" t="s">
        <v>883</v>
      </c>
      <c r="D10" s="5" t="s">
        <v>963</v>
      </c>
      <c r="E10" s="4" t="s">
        <v>964</v>
      </c>
      <c r="F10" s="4" t="s">
        <v>948</v>
      </c>
      <c r="G10" s="4" t="s">
        <v>948</v>
      </c>
      <c r="H10" s="5" t="s">
        <v>965</v>
      </c>
    </row>
    <row r="12" customFormat="false" ht="63.75" hidden="false" customHeight="true" outlineLevel="0" collapsed="false">
      <c r="A12" s="18" t="s">
        <v>966</v>
      </c>
      <c r="C12" s="19" t="s">
        <v>967</v>
      </c>
      <c r="D12" s="19"/>
      <c r="E12" s="19"/>
      <c r="F12" s="19"/>
      <c r="G12" s="19"/>
      <c r="H12" s="19"/>
    </row>
  </sheetData>
  <autoFilter ref="A1:H10"/>
  <mergeCells count="1">
    <mergeCell ref="C12:H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70"/>
    <col collapsed="false" customWidth="true" hidden="false" outlineLevel="0" max="3" min="3" style="1" width="44"/>
    <col collapsed="false" customWidth="true" hidden="false" outlineLevel="0" max="4" min="4" style="1" width="10"/>
    <col collapsed="false" customWidth="true" hidden="false" outlineLevel="0" max="5" min="5" style="1" width="12"/>
    <col collapsed="false" customWidth="true" hidden="false" outlineLevel="0" max="6" min="6" style="1" width="20"/>
    <col collapsed="false" customWidth="true" hidden="false" outlineLevel="0" max="7" min="7" style="1" width="8"/>
  </cols>
  <sheetData>
    <row r="1" customFormat="false" ht="15" hidden="false" customHeight="true" outlineLevel="0" collapsed="false">
      <c r="A1" s="7" t="s">
        <v>633</v>
      </c>
      <c r="B1" s="7" t="s">
        <v>968</v>
      </c>
      <c r="C1" s="7" t="s">
        <v>969</v>
      </c>
      <c r="D1" s="7" t="s">
        <v>73</v>
      </c>
      <c r="E1" s="7" t="s">
        <v>75</v>
      </c>
      <c r="F1" s="7" t="s">
        <v>970</v>
      </c>
      <c r="G1" s="7" t="s">
        <v>971</v>
      </c>
    </row>
    <row r="2" customFormat="false" ht="29.25" hidden="false" customHeight="true" outlineLevel="0" collapsed="false">
      <c r="A2" s="5" t="s">
        <v>80</v>
      </c>
      <c r="B2" s="4" t="s">
        <v>972</v>
      </c>
      <c r="C2" s="4" t="s">
        <v>77</v>
      </c>
      <c r="D2" s="14" t="s">
        <v>79</v>
      </c>
      <c r="E2" s="13" t="n">
        <f aca="false">COUNTIF('API_내부 함수'!$D:$D,"manifest.json")</f>
        <v>0</v>
      </c>
      <c r="F2" s="4" t="s">
        <v>973</v>
      </c>
      <c r="G2" s="4" t="s">
        <v>974</v>
      </c>
    </row>
    <row r="3" customFormat="false" ht="29.25" hidden="false" customHeight="true" outlineLevel="0" collapsed="false">
      <c r="A3" s="5" t="s">
        <v>511</v>
      </c>
      <c r="B3" s="4" t="s">
        <v>975</v>
      </c>
      <c r="C3" s="4" t="s">
        <v>976</v>
      </c>
      <c r="D3" s="17" t="s">
        <v>96</v>
      </c>
      <c r="E3" s="13" t="n">
        <f aca="false">COUNTIF('API_내부 함수'!$D:$D,"background.js")</f>
        <v>3</v>
      </c>
      <c r="F3" s="4" t="s">
        <v>977</v>
      </c>
      <c r="G3" s="4" t="s">
        <v>847</v>
      </c>
    </row>
    <row r="4" customFormat="false" ht="29.25" hidden="false" customHeight="true" outlineLevel="0" collapsed="false">
      <c r="A4" s="5" t="s">
        <v>978</v>
      </c>
      <c r="B4" s="4" t="s">
        <v>979</v>
      </c>
      <c r="C4" s="4" t="s">
        <v>980</v>
      </c>
      <c r="D4" s="14" t="s">
        <v>79</v>
      </c>
      <c r="E4" s="13" t="n">
        <f aca="false">COUNTIF('API_내부 함수'!$D:$D,"store.js")</f>
        <v>12</v>
      </c>
      <c r="F4" s="4" t="s">
        <v>977</v>
      </c>
      <c r="G4" s="4" t="s">
        <v>692</v>
      </c>
    </row>
    <row r="5" customFormat="false" ht="29.25" hidden="false" customHeight="true" outlineLevel="0" collapsed="false">
      <c r="A5" s="5" t="s">
        <v>981</v>
      </c>
      <c r="B5" s="4" t="s">
        <v>982</v>
      </c>
      <c r="C5" s="4" t="s">
        <v>983</v>
      </c>
      <c r="D5" s="14" t="s">
        <v>79</v>
      </c>
      <c r="E5" s="13" t="n">
        <f aca="false">COUNTIF('API_내부 함수'!$D:$D,"bookmarks.js")</f>
        <v>7</v>
      </c>
      <c r="F5" s="4" t="s">
        <v>977</v>
      </c>
      <c r="G5" s="4" t="s">
        <v>645</v>
      </c>
    </row>
    <row r="6" customFormat="false" ht="29.25" hidden="false" customHeight="true" outlineLevel="0" collapsed="false">
      <c r="A6" s="5" t="s">
        <v>984</v>
      </c>
      <c r="B6" s="4" t="s">
        <v>985</v>
      </c>
      <c r="C6" s="4" t="s">
        <v>986</v>
      </c>
      <c r="D6" s="14" t="s">
        <v>79</v>
      </c>
      <c r="E6" s="13" t="n">
        <f aca="false">COUNTIF('API_내부 함수'!$D:$D,"organize.js")</f>
        <v>2</v>
      </c>
      <c r="F6" s="4" t="s">
        <v>977</v>
      </c>
      <c r="G6" s="4" t="s">
        <v>783</v>
      </c>
    </row>
    <row r="7" customFormat="false" ht="29.25" hidden="false" customHeight="true" outlineLevel="0" collapsed="false">
      <c r="A7" s="5" t="s">
        <v>987</v>
      </c>
      <c r="B7" s="4" t="s">
        <v>988</v>
      </c>
      <c r="C7" s="4" t="s">
        <v>989</v>
      </c>
      <c r="D7" s="17" t="s">
        <v>96</v>
      </c>
      <c r="E7" s="13" t="n">
        <f aca="false">COUNTIF('API_내부 함수'!$D:$D,"classify.js")</f>
        <v>3</v>
      </c>
      <c r="F7" s="4" t="s">
        <v>977</v>
      </c>
      <c r="G7" s="4" t="s">
        <v>748</v>
      </c>
    </row>
    <row r="8" customFormat="false" ht="29.25" hidden="false" customHeight="true" outlineLevel="0" collapsed="false">
      <c r="A8" s="5" t="s">
        <v>990</v>
      </c>
      <c r="B8" s="4" t="s">
        <v>991</v>
      </c>
      <c r="C8" s="4" t="s">
        <v>94</v>
      </c>
      <c r="D8" s="17" t="s">
        <v>96</v>
      </c>
      <c r="E8" s="13" t="n">
        <f aca="false">COUNTIF('API_내부 함수'!$D:$D,"categories.json")</f>
        <v>0</v>
      </c>
      <c r="F8" s="4" t="s">
        <v>992</v>
      </c>
      <c r="G8" s="4" t="s">
        <v>993</v>
      </c>
    </row>
    <row r="9" customFormat="false" ht="29.25" hidden="false" customHeight="true" outlineLevel="0" collapsed="false">
      <c r="A9" s="5" t="s">
        <v>994</v>
      </c>
      <c r="B9" s="4" t="s">
        <v>995</v>
      </c>
      <c r="C9" s="4" t="s">
        <v>115</v>
      </c>
      <c r="D9" s="17" t="s">
        <v>96</v>
      </c>
      <c r="E9" s="13" t="n">
        <f aca="false">COUNTIF('API_내부 함수'!$D:$D,"forgotten.js")</f>
        <v>2</v>
      </c>
      <c r="F9" s="4" t="s">
        <v>977</v>
      </c>
      <c r="G9" s="4" t="s">
        <v>805</v>
      </c>
    </row>
    <row r="10" customFormat="false" ht="43.5" hidden="false" customHeight="true" outlineLevel="0" collapsed="false">
      <c r="A10" s="5" t="s">
        <v>996</v>
      </c>
      <c r="B10" s="4" t="s">
        <v>997</v>
      </c>
      <c r="C10" s="4" t="s">
        <v>998</v>
      </c>
      <c r="D10" s="16" t="s">
        <v>92</v>
      </c>
      <c r="E10" s="13" t="n">
        <f aca="false">COUNTIF('API_내부 함수'!$D:$D,"plan.js")</f>
        <v>4</v>
      </c>
      <c r="F10" s="4" t="s">
        <v>977</v>
      </c>
      <c r="G10" s="4" t="s">
        <v>760</v>
      </c>
    </row>
    <row r="11" customFormat="false" ht="15.75" hidden="false" customHeight="true" outlineLevel="0" collapsed="false">
      <c r="A11" s="5" t="s">
        <v>999</v>
      </c>
      <c r="B11" s="4" t="s">
        <v>1000</v>
      </c>
      <c r="C11" s="4" t="s">
        <v>134</v>
      </c>
      <c r="D11" s="16" t="s">
        <v>92</v>
      </c>
      <c r="E11" s="13" t="n">
        <f aca="false">COUNTIF('API_내부 함수'!$D:$D,"topic.js")</f>
        <v>1</v>
      </c>
      <c r="F11" s="4" t="s">
        <v>973</v>
      </c>
      <c r="G11" s="4" t="s">
        <v>865</v>
      </c>
    </row>
    <row r="12" customFormat="false" ht="43.5" hidden="false" customHeight="true" outlineLevel="0" collapsed="false">
      <c r="A12" s="5" t="s">
        <v>1001</v>
      </c>
      <c r="B12" s="4" t="s">
        <v>1002</v>
      </c>
      <c r="C12" s="4" t="s">
        <v>1003</v>
      </c>
      <c r="D12" s="15" t="s">
        <v>89</v>
      </c>
      <c r="E12" s="13" t="n">
        <f aca="false">COUNTIF('API_내부 함수'!$D:$D,"render.js")</f>
        <v>1</v>
      </c>
      <c r="F12" s="4" t="s">
        <v>973</v>
      </c>
      <c r="G12" s="4" t="s">
        <v>833</v>
      </c>
    </row>
    <row r="13" customFormat="false" ht="15.75" hidden="false" customHeight="true" outlineLevel="0" collapsed="false">
      <c r="A13" s="5" t="s">
        <v>1004</v>
      </c>
      <c r="B13" s="4" t="s">
        <v>1005</v>
      </c>
      <c r="C13" s="4" t="s">
        <v>128</v>
      </c>
      <c r="D13" s="15" t="s">
        <v>89</v>
      </c>
      <c r="E13" s="13" t="n">
        <f aca="false">COUNTIF('API_내부 함수'!$D:$D," newtab.css")</f>
        <v>0</v>
      </c>
      <c r="F13" s="4" t="s">
        <v>973</v>
      </c>
      <c r="G13" s="4" t="s">
        <v>1006</v>
      </c>
    </row>
    <row r="14" customFormat="false" ht="29.25" hidden="false" customHeight="true" outlineLevel="0" collapsed="false">
      <c r="A14" s="5" t="s">
        <v>1007</v>
      </c>
      <c r="B14" s="4" t="s">
        <v>1008</v>
      </c>
      <c r="C14" s="4" t="s">
        <v>1009</v>
      </c>
      <c r="D14" s="15" t="s">
        <v>89</v>
      </c>
      <c r="E14" s="13" t="n">
        <f aca="false">COUNTIF('API_내부 함수'!$D:$D,"search.js")</f>
        <v>3</v>
      </c>
      <c r="F14" s="4" t="s">
        <v>977</v>
      </c>
      <c r="G14" s="4" t="s">
        <v>818</v>
      </c>
    </row>
    <row r="15" customFormat="false" ht="15.75" hidden="false" customHeight="true" outlineLevel="0" collapsed="false">
      <c r="A15" s="5" t="s">
        <v>1010</v>
      </c>
      <c r="B15" s="4" t="s">
        <v>1011</v>
      </c>
      <c r="C15" s="4" t="s">
        <v>68</v>
      </c>
      <c r="D15" s="15" t="s">
        <v>89</v>
      </c>
      <c r="E15" s="13" t="n">
        <f aca="false">COUNTIF('API_내부 함수'!$D:$D,"dnd.js")</f>
        <v>1</v>
      </c>
      <c r="F15" s="4" t="s">
        <v>973</v>
      </c>
      <c r="G15" s="4" t="s">
        <v>872</v>
      </c>
    </row>
    <row r="16" customFormat="false" ht="29.25" hidden="false" customHeight="true" outlineLevel="0" collapsed="false">
      <c r="A16" s="5" t="s">
        <v>1012</v>
      </c>
      <c r="B16" s="4" t="s">
        <v>1013</v>
      </c>
      <c r="C16" s="4" t="s">
        <v>1014</v>
      </c>
      <c r="D16" s="15" t="s">
        <v>89</v>
      </c>
      <c r="E16" s="13" t="n">
        <f aca="false">COUNTIF('API_내부 함수'!$D:$D,"view/cards.js")</f>
        <v>1</v>
      </c>
      <c r="F16" s="4" t="s">
        <v>973</v>
      </c>
      <c r="G16" s="4" t="s">
        <v>841</v>
      </c>
    </row>
    <row r="17" customFormat="false" ht="15.75" hidden="false" customHeight="true" outlineLevel="0" collapsed="false">
      <c r="A17" s="5" t="s">
        <v>1015</v>
      </c>
      <c r="B17" s="4" t="s">
        <v>1016</v>
      </c>
      <c r="C17" s="4" t="s">
        <v>1017</v>
      </c>
      <c r="D17" s="15" t="s">
        <v>92</v>
      </c>
      <c r="E17" s="13" t="n">
        <f aca="false">COUNTIF('API_내부 함수'!$D:$D,"view/folders.js")</f>
        <v>1</v>
      </c>
      <c r="F17" s="4" t="s">
        <v>973</v>
      </c>
      <c r="G17" s="4" t="s">
        <v>904</v>
      </c>
    </row>
    <row r="18" customFormat="false" ht="29.25" hidden="false" customHeight="true" outlineLevel="0" collapsed="false">
      <c r="A18" s="5" t="s">
        <v>1018</v>
      </c>
      <c r="B18" s="4" t="s">
        <v>1019</v>
      </c>
      <c r="C18" s="4" t="s">
        <v>115</v>
      </c>
      <c r="D18" s="15" t="s">
        <v>96</v>
      </c>
      <c r="E18" s="13" t="n">
        <f aca="false">COUNTIF('API_내부 함수'!$D:$D,"view/forgottenFolder.js")</f>
        <v>1</v>
      </c>
      <c r="F18" s="4" t="s">
        <v>973</v>
      </c>
      <c r="G18" s="4" t="s">
        <v>912</v>
      </c>
    </row>
    <row r="19" customFormat="false" ht="15.75" hidden="false" customHeight="true" outlineLevel="0" collapsed="false">
      <c r="A19" s="5" t="s">
        <v>1020</v>
      </c>
      <c r="B19" s="4" t="s">
        <v>1021</v>
      </c>
      <c r="C19" s="4" t="s">
        <v>109</v>
      </c>
      <c r="D19" s="15" t="s">
        <v>79</v>
      </c>
      <c r="E19" s="13" t="n">
        <f aca="false">COUNTIF('API_내부 함수'!$D:$D,"view/history.js")</f>
        <v>1</v>
      </c>
      <c r="F19" s="4" t="s">
        <v>973</v>
      </c>
      <c r="G19" s="4" t="s">
        <v>920</v>
      </c>
    </row>
    <row r="20" customFormat="false" ht="15.75" hidden="false" customHeight="true" outlineLevel="0" collapsed="false">
      <c r="A20" s="5" t="s">
        <v>1022</v>
      </c>
      <c r="B20" s="4" t="s">
        <v>1023</v>
      </c>
      <c r="C20" s="4" t="s">
        <v>1024</v>
      </c>
      <c r="D20" s="15" t="s">
        <v>89</v>
      </c>
      <c r="E20" s="13" t="n">
        <f aca="false">COUNTIF('API_내부 함수'!$D:$D,"ui.js")</f>
        <v>3</v>
      </c>
      <c r="F20" s="4" t="s">
        <v>973</v>
      </c>
      <c r="G20" s="4" t="s">
        <v>928</v>
      </c>
    </row>
  </sheetData>
  <autoFilter ref="A1:F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2026-10-05T08:39:28Z</dcterms:created>
  <dc:creator>openpyxl</dc:creator>
  <dc:description/>
  <dc:language>en-US</dc:language>
  <cp:lastModifiedBy/>
  <dcterms:modified xsi:type="dcterms:W3CDTF">2026-10-07T08:58:25Z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